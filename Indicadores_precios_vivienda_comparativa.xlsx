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orie\Desktop\TRABAJO\CGT\Análisis de coyuntura económica\IPC\Nuevo calculo de IPC alternativo para inquilinos\reponderacionIPC_2\"/>
    </mc:Choice>
  </mc:AlternateContent>
  <bookViews>
    <workbookView xWindow="0" yWindow="0" windowWidth="23040" windowHeight="9936" activeTab="1"/>
  </bookViews>
  <sheets>
    <sheet name="Fuentes" sheetId="4" r:id="rId1"/>
    <sheet name="Comparativa" sheetId="1" r:id="rId2"/>
    <sheet name="ECV brutos" sheetId="2" r:id="rId3"/>
    <sheet name="EFF brutos" sheetId="3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" i="1" l="1"/>
  <c r="N9" i="1"/>
  <c r="N10" i="1"/>
  <c r="N11" i="1"/>
  <c r="N12" i="1"/>
  <c r="N7" i="1"/>
  <c r="F8" i="1"/>
  <c r="H8" i="1" s="1"/>
  <c r="J8" i="1" s="1"/>
  <c r="L8" i="1" s="1"/>
  <c r="F9" i="1"/>
  <c r="H9" i="1" s="1"/>
  <c r="J9" i="1" s="1"/>
  <c r="L9" i="1" s="1"/>
  <c r="F10" i="1"/>
  <c r="H10" i="1" s="1"/>
  <c r="J10" i="1" s="1"/>
  <c r="L10" i="1" s="1"/>
  <c r="F11" i="1"/>
  <c r="H11" i="1" s="1"/>
  <c r="J11" i="1" s="1"/>
  <c r="L11" i="1" s="1"/>
  <c r="F12" i="1"/>
  <c r="H12" i="1" s="1"/>
  <c r="J12" i="1" s="1"/>
  <c r="L12" i="1" s="1"/>
  <c r="F7" i="1"/>
  <c r="H7" i="1" s="1"/>
  <c r="J7" i="1" s="1"/>
  <c r="L7" i="1" s="1"/>
  <c r="G6" i="3" l="1"/>
  <c r="G7" i="3"/>
  <c r="G8" i="3"/>
  <c r="G9" i="3"/>
  <c r="G10" i="3"/>
  <c r="G11" i="3"/>
  <c r="G5" i="3"/>
</calcChain>
</file>

<file path=xl/sharedStrings.xml><?xml version="1.0" encoding="utf-8"?>
<sst xmlns="http://schemas.openxmlformats.org/spreadsheetml/2006/main" count="40" uniqueCount="22">
  <si>
    <t>Idealista</t>
  </si>
  <si>
    <t>Fotocasa</t>
  </si>
  <si>
    <t>IPC</t>
  </si>
  <si>
    <t>IPVA</t>
  </si>
  <si>
    <t>ECV</t>
  </si>
  <si>
    <t>CaixaBank</t>
  </si>
  <si>
    <t>SERPAVI</t>
  </si>
  <si>
    <t>Variación porcentual del precio del alquiler según distintas fuentes</t>
  </si>
  <si>
    <t>Script para reproducción de resultados disponible en: https://github.com/maiktreya/ECVmicrodata/blob/main/src/IPC_alquiler.R</t>
  </si>
  <si>
    <t>Script para reproducción de resultados disponible en: https://github.com/maiktreya/EFFmicrodata/blob/main/src/IPC_alquiler_CGT.R</t>
  </si>
  <si>
    <t>NA</t>
  </si>
  <si>
    <t>period</t>
  </si>
  <si>
    <t>monthly rent</t>
  </si>
  <si>
    <t>growth rate</t>
  </si>
  <si>
    <t>EFF</t>
  </si>
  <si>
    <t>growth rate (cumulative)</t>
  </si>
  <si>
    <t>growth rate (year)</t>
  </si>
  <si>
    <t>Base</t>
  </si>
  <si>
    <t>Var. Anual</t>
  </si>
  <si>
    <t>Acum.</t>
  </si>
  <si>
    <t>2019-2023</t>
  </si>
  <si>
    <t>Var.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</si>
</sst>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0" fontId="2" fillId="0" borderId="0"/>
    <xf numFmtId="9" fontId="4" fillId="0" borderId="0" applyFont="0" applyFill="0" applyBorder="0" applyAlignment="0" applyProtection="0"/>
  </cellStyleXfs>
  <cellXfs count="48">
    <xf numFmtId="0" fontId="0" fillId="0" borderId="0" xfId="0"/>
    <xf numFmtId="0" fontId="0" fillId="0" borderId="1" xfId="0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0" fillId="0" borderId="5" xfId="0" applyBorder="1"/>
    <xf numFmtId="0" fontId="1" fillId="0" borderId="6" xfId="0" applyFont="1" applyBorder="1"/>
    <xf numFmtId="0" fontId="0" fillId="0" borderId="7" xfId="0" applyBorder="1"/>
    <xf numFmtId="0" fontId="0" fillId="0" borderId="8" xfId="0" applyBorder="1"/>
    <xf numFmtId="0" fontId="0" fillId="0" borderId="0" xfId="0" applyAlignment="1">
      <alignment horizontal="center"/>
    </xf>
    <xf numFmtId="3" fontId="0" fillId="0" borderId="0" xfId="0" applyNumberFormat="1"/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2" applyNumberFormat="1" applyFont="1" applyAlignment="1">
      <alignment horizontal="center"/>
    </xf>
    <xf numFmtId="0" fontId="0" fillId="0" borderId="0" xfId="0" applyFill="1" applyAlignment="1">
      <alignment horizontal="right"/>
    </xf>
    <xf numFmtId="164" fontId="0" fillId="0" borderId="0" xfId="2" applyNumberFormat="1" applyFont="1" applyFill="1" applyAlignment="1">
      <alignment horizontal="right"/>
    </xf>
    <xf numFmtId="0" fontId="3" fillId="0" borderId="0" xfId="0" applyFont="1" applyBorder="1" applyAlignment="1">
      <alignment horizontal="center"/>
    </xf>
    <xf numFmtId="0" fontId="1" fillId="0" borderId="0" xfId="0" applyFont="1" applyBorder="1"/>
    <xf numFmtId="0" fontId="0" fillId="0" borderId="0" xfId="0" applyBorder="1"/>
    <xf numFmtId="0" fontId="0" fillId="0" borderId="0" xfId="0" applyFill="1" applyBorder="1"/>
    <xf numFmtId="0" fontId="5" fillId="0" borderId="0" xfId="0" applyFont="1" applyFill="1" applyBorder="1"/>
    <xf numFmtId="0" fontId="0" fillId="0" borderId="1" xfId="0" applyFill="1" applyBorder="1"/>
    <xf numFmtId="0" fontId="1" fillId="0" borderId="2" xfId="0" applyFont="1" applyFill="1" applyBorder="1"/>
    <xf numFmtId="0" fontId="0" fillId="0" borderId="4" xfId="0" applyFill="1" applyBorder="1"/>
    <xf numFmtId="0" fontId="1" fillId="0" borderId="4" xfId="0" applyFont="1" applyFill="1" applyBorder="1"/>
    <xf numFmtId="0" fontId="1" fillId="0" borderId="6" xfId="0" applyFont="1" applyFill="1" applyBorder="1"/>
    <xf numFmtId="0" fontId="0" fillId="0" borderId="11" xfId="0" applyFill="1" applyBorder="1"/>
    <xf numFmtId="0" fontId="1" fillId="0" borderId="12" xfId="0" applyFont="1" applyFill="1" applyBorder="1"/>
    <xf numFmtId="0" fontId="0" fillId="0" borderId="13" xfId="0" applyFill="1" applyBorder="1"/>
    <xf numFmtId="0" fontId="0" fillId="2" borderId="9" xfId="0" applyFill="1" applyBorder="1"/>
    <xf numFmtId="0" fontId="0" fillId="2" borderId="0" xfId="0" applyFill="1" applyBorder="1"/>
    <xf numFmtId="0" fontId="0" fillId="2" borderId="5" xfId="0" applyFill="1" applyBorder="1"/>
    <xf numFmtId="0" fontId="0" fillId="2" borderId="10" xfId="0" applyFill="1" applyBorder="1"/>
    <xf numFmtId="0" fontId="0" fillId="2" borderId="7" xfId="0" applyFill="1" applyBorder="1"/>
    <xf numFmtId="0" fontId="0" fillId="2" borderId="8" xfId="0" applyFill="1" applyBorder="1"/>
    <xf numFmtId="0" fontId="1" fillId="0" borderId="11" xfId="0" applyFont="1" applyFill="1" applyBorder="1"/>
    <xf numFmtId="0" fontId="1" fillId="0" borderId="16" xfId="0" applyFont="1" applyFill="1" applyBorder="1"/>
    <xf numFmtId="0" fontId="6" fillId="0" borderId="11" xfId="0" applyFont="1" applyFill="1" applyBorder="1"/>
    <xf numFmtId="10" fontId="0" fillId="3" borderId="9" xfId="2" applyNumberFormat="1" applyFont="1" applyFill="1" applyBorder="1"/>
    <xf numFmtId="10" fontId="0" fillId="3" borderId="10" xfId="2" applyNumberFormat="1" applyFont="1" applyFill="1" applyBorder="1"/>
    <xf numFmtId="0" fontId="3" fillId="0" borderId="7" xfId="0" applyFont="1" applyBorder="1" applyAlignment="1">
      <alignment horizontal="center"/>
    </xf>
    <xf numFmtId="0" fontId="6" fillId="0" borderId="16" xfId="0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1" fillId="0" borderId="14" xfId="0" applyFont="1" applyFill="1" applyBorder="1" applyAlignment="1">
      <alignment horizontal="center"/>
    </xf>
    <xf numFmtId="0" fontId="1" fillId="0" borderId="15" xfId="0" applyFont="1" applyFill="1" applyBorder="1" applyAlignment="1">
      <alignment horizontal="center"/>
    </xf>
    <xf numFmtId="0" fontId="1" fillId="0" borderId="16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3">
    <cellStyle name="Normal" xfId="0" builtinId="0"/>
    <cellStyle name="Normal 2" xfId="1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J11"/>
  <sheetViews>
    <sheetView workbookViewId="0">
      <selection activeCell="D26" sqref="D26"/>
    </sheetView>
  </sheetViews>
  <sheetFormatPr baseColWidth="10" defaultColWidth="11.44140625" defaultRowHeight="14.4" x14ac:dyDescent="0.3"/>
  <cols>
    <col min="5" max="5" width="12.5546875" bestFit="1" customWidth="1"/>
  </cols>
  <sheetData>
    <row r="2" spans="3:10" ht="15" thickBot="1" x14ac:dyDescent="0.35">
      <c r="C2" s="40" t="s">
        <v>7</v>
      </c>
      <c r="D2" s="40"/>
      <c r="E2" s="40"/>
      <c r="F2" s="40"/>
      <c r="G2" s="40"/>
      <c r="H2" s="40"/>
      <c r="I2" s="40"/>
      <c r="J2" s="16"/>
    </row>
    <row r="3" spans="3:10" x14ac:dyDescent="0.3">
      <c r="C3" s="1"/>
      <c r="D3" s="2">
        <v>2019</v>
      </c>
      <c r="E3" s="2">
        <v>2020</v>
      </c>
      <c r="F3" s="2">
        <v>2021</v>
      </c>
      <c r="G3" s="2">
        <v>2022</v>
      </c>
      <c r="H3" s="2">
        <v>2023</v>
      </c>
      <c r="I3" s="3">
        <v>2024</v>
      </c>
      <c r="J3" s="17"/>
    </row>
    <row r="4" spans="3:10" x14ac:dyDescent="0.3">
      <c r="C4" s="4" t="s">
        <v>5</v>
      </c>
      <c r="I4" s="5">
        <v>6</v>
      </c>
      <c r="J4" s="18"/>
    </row>
    <row r="5" spans="3:10" x14ac:dyDescent="0.3">
      <c r="C5" s="4" t="s">
        <v>0</v>
      </c>
      <c r="D5">
        <v>4.5999999999999996</v>
      </c>
      <c r="E5">
        <v>4.7</v>
      </c>
      <c r="F5">
        <v>-2.9</v>
      </c>
      <c r="G5">
        <v>2.7</v>
      </c>
      <c r="H5">
        <v>8.9</v>
      </c>
      <c r="I5" s="5">
        <v>11.4</v>
      </c>
      <c r="J5" s="18"/>
    </row>
    <row r="6" spans="3:10" x14ac:dyDescent="0.3">
      <c r="C6" s="4" t="s">
        <v>1</v>
      </c>
      <c r="D6">
        <v>5.0999999999999996</v>
      </c>
      <c r="E6">
        <v>4.5999999999999996</v>
      </c>
      <c r="F6">
        <v>-3.6</v>
      </c>
      <c r="G6">
        <v>7.4</v>
      </c>
      <c r="H6">
        <v>5.7</v>
      </c>
      <c r="I6" s="5">
        <v>14</v>
      </c>
      <c r="J6" s="18"/>
    </row>
    <row r="7" spans="3:10" x14ac:dyDescent="0.3">
      <c r="C7" s="4" t="s">
        <v>2</v>
      </c>
      <c r="D7">
        <v>1.5</v>
      </c>
      <c r="E7">
        <v>1.1000000000000001</v>
      </c>
      <c r="F7">
        <v>0.6</v>
      </c>
      <c r="G7">
        <v>1.3</v>
      </c>
      <c r="H7">
        <v>2.1</v>
      </c>
      <c r="I7" s="5">
        <v>2.2000000000000002</v>
      </c>
      <c r="J7" s="18"/>
    </row>
    <row r="8" spans="3:10" x14ac:dyDescent="0.3">
      <c r="C8" s="4" t="s">
        <v>3</v>
      </c>
      <c r="D8">
        <v>3.5</v>
      </c>
      <c r="E8">
        <v>0.9</v>
      </c>
      <c r="F8">
        <v>1.6</v>
      </c>
      <c r="G8">
        <v>2.7</v>
      </c>
      <c r="H8">
        <v>2.6</v>
      </c>
      <c r="I8" s="5"/>
      <c r="J8" s="18"/>
    </row>
    <row r="9" spans="3:10" x14ac:dyDescent="0.3">
      <c r="C9" s="4" t="s">
        <v>14</v>
      </c>
      <c r="D9" s="14"/>
      <c r="E9" s="15">
        <v>8.9890253808918939E-3</v>
      </c>
      <c r="F9" s="14"/>
      <c r="G9" s="15">
        <v>1.8123683514768896E-2</v>
      </c>
      <c r="H9" s="14"/>
      <c r="I9" s="5"/>
      <c r="J9" s="18"/>
    </row>
    <row r="10" spans="3:10" x14ac:dyDescent="0.3">
      <c r="C10" s="4" t="s">
        <v>4</v>
      </c>
      <c r="D10" s="15">
        <v>3.2000000000000001E-2</v>
      </c>
      <c r="E10" s="15">
        <v>1.9099999999999999E-2</v>
      </c>
      <c r="F10" s="15">
        <v>3.9399999999999998E-2</v>
      </c>
      <c r="G10" s="15">
        <v>2.5600000000000001E-2</v>
      </c>
      <c r="H10" s="15">
        <v>4.8800000000000003E-2</v>
      </c>
      <c r="I10" s="5"/>
      <c r="J10" s="18"/>
    </row>
    <row r="11" spans="3:10" ht="15" thickBot="1" x14ac:dyDescent="0.35">
      <c r="C11" s="6" t="s">
        <v>6</v>
      </c>
      <c r="D11" s="7">
        <v>7.9</v>
      </c>
      <c r="E11" s="7">
        <v>2.4</v>
      </c>
      <c r="F11" s="7">
        <v>3.9</v>
      </c>
      <c r="G11" s="7">
        <v>1.9</v>
      </c>
      <c r="H11" s="7">
        <v>5.4</v>
      </c>
      <c r="I11" s="8"/>
      <c r="J11" s="18"/>
    </row>
  </sheetData>
  <mergeCells count="1">
    <mergeCell ref="C2:I2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O12"/>
  <sheetViews>
    <sheetView tabSelected="1" topLeftCell="B1" workbookViewId="0">
      <selection activeCell="N16" sqref="N16"/>
    </sheetView>
  </sheetViews>
  <sheetFormatPr baseColWidth="10" defaultColWidth="11.44140625" defaultRowHeight="14.4" x14ac:dyDescent="0.3"/>
  <cols>
    <col min="5" max="5" width="12.5546875" bestFit="1" customWidth="1"/>
    <col min="6" max="6" width="12.5546875" customWidth="1"/>
    <col min="14" max="14" width="15.5546875" bestFit="1" customWidth="1"/>
  </cols>
  <sheetData>
    <row r="4" spans="3:15" ht="15" thickBot="1" x14ac:dyDescent="0.35"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20"/>
      <c r="O4" s="19"/>
    </row>
    <row r="5" spans="3:15" x14ac:dyDescent="0.3">
      <c r="C5" s="21"/>
      <c r="D5" s="22" t="s">
        <v>17</v>
      </c>
      <c r="E5" s="43">
        <v>2019</v>
      </c>
      <c r="F5" s="44"/>
      <c r="G5" s="45">
        <v>2020</v>
      </c>
      <c r="H5" s="46"/>
      <c r="I5" s="45">
        <v>2021</v>
      </c>
      <c r="J5" s="46"/>
      <c r="K5" s="45">
        <v>2022</v>
      </c>
      <c r="L5" s="46"/>
      <c r="M5" s="36">
        <v>2023</v>
      </c>
      <c r="N5" s="41" t="s">
        <v>20</v>
      </c>
      <c r="O5" s="42"/>
    </row>
    <row r="6" spans="3:15" x14ac:dyDescent="0.3">
      <c r="C6" s="23"/>
      <c r="D6" s="26"/>
      <c r="E6" s="35" t="s">
        <v>18</v>
      </c>
      <c r="F6" s="27" t="s">
        <v>19</v>
      </c>
      <c r="G6" s="35" t="s">
        <v>18</v>
      </c>
      <c r="H6" s="27" t="s">
        <v>19</v>
      </c>
      <c r="I6" s="35" t="s">
        <v>18</v>
      </c>
      <c r="J6" s="27" t="s">
        <v>19</v>
      </c>
      <c r="K6" s="35" t="s">
        <v>18</v>
      </c>
      <c r="L6" s="27" t="s">
        <v>19</v>
      </c>
      <c r="M6" s="35" t="s">
        <v>18</v>
      </c>
      <c r="N6" s="37" t="s">
        <v>21</v>
      </c>
      <c r="O6" s="28" t="s">
        <v>19</v>
      </c>
    </row>
    <row r="7" spans="3:15" x14ac:dyDescent="0.3">
      <c r="C7" s="24" t="s">
        <v>0</v>
      </c>
      <c r="D7" s="29">
        <v>100</v>
      </c>
      <c r="E7" s="29">
        <v>4.5999999999999999E-2</v>
      </c>
      <c r="F7" s="30">
        <f>D7+(D7*E7)</f>
        <v>104.6</v>
      </c>
      <c r="G7" s="29">
        <v>4.7E-2</v>
      </c>
      <c r="H7" s="30">
        <f>F7+(F7*G7)</f>
        <v>109.5162</v>
      </c>
      <c r="I7" s="29">
        <v>-2.8999999999999998E-2</v>
      </c>
      <c r="J7" s="30">
        <f>H7+(H7*I7)</f>
        <v>106.34023019999999</v>
      </c>
      <c r="K7" s="29">
        <v>2.7000000000000003E-2</v>
      </c>
      <c r="L7" s="30">
        <f>J7+(J7*K7)</f>
        <v>109.2114164154</v>
      </c>
      <c r="M7" s="29">
        <v>8.900000000000001E-2</v>
      </c>
      <c r="N7" s="38">
        <f>(O7-100)/100</f>
        <v>0.18931232476370596</v>
      </c>
      <c r="O7" s="31">
        <v>118.9312324763706</v>
      </c>
    </row>
    <row r="8" spans="3:15" x14ac:dyDescent="0.3">
      <c r="C8" s="24" t="s">
        <v>1</v>
      </c>
      <c r="D8" s="29">
        <v>100</v>
      </c>
      <c r="E8" s="29">
        <v>5.0999999999999997E-2</v>
      </c>
      <c r="F8" s="30">
        <f t="shared" ref="F8:F12" si="0">D8+(D8*E8)</f>
        <v>105.1</v>
      </c>
      <c r="G8" s="29">
        <v>4.5999999999999999E-2</v>
      </c>
      <c r="H8" s="30">
        <f t="shared" ref="H8:H12" si="1">F8+(F8*G8)</f>
        <v>109.93459999999999</v>
      </c>
      <c r="I8" s="29">
        <v>-3.6000000000000004E-2</v>
      </c>
      <c r="J8" s="30">
        <f t="shared" ref="J8:J12" si="2">H8+(H8*I8)</f>
        <v>105.97695439999998</v>
      </c>
      <c r="K8" s="29">
        <v>7.400000000000001E-2</v>
      </c>
      <c r="L8" s="30">
        <f t="shared" ref="L8:L12" si="3">J8+(J8*K8)</f>
        <v>113.81924902559999</v>
      </c>
      <c r="M8" s="29">
        <v>5.7000000000000002E-2</v>
      </c>
      <c r="N8" s="38">
        <f t="shared" ref="N8:N12" si="4">(O8-100)/100</f>
        <v>0.20306946220059188</v>
      </c>
      <c r="O8" s="31">
        <v>120.30694622005919</v>
      </c>
    </row>
    <row r="9" spans="3:15" x14ac:dyDescent="0.3">
      <c r="C9" s="24" t="s">
        <v>2</v>
      </c>
      <c r="D9" s="29">
        <v>100</v>
      </c>
      <c r="E9" s="29">
        <v>1.4999999999999999E-2</v>
      </c>
      <c r="F9" s="30">
        <f t="shared" si="0"/>
        <v>101.5</v>
      </c>
      <c r="G9" s="29">
        <v>1.1000000000000001E-2</v>
      </c>
      <c r="H9" s="30">
        <f t="shared" si="1"/>
        <v>102.6165</v>
      </c>
      <c r="I9" s="29">
        <v>6.0000000000000001E-3</v>
      </c>
      <c r="J9" s="30">
        <f t="shared" si="2"/>
        <v>103.23219900000001</v>
      </c>
      <c r="K9" s="29">
        <v>1.3000000000000001E-2</v>
      </c>
      <c r="L9" s="30">
        <f t="shared" si="3"/>
        <v>104.57421758700001</v>
      </c>
      <c r="M9" s="29">
        <v>2.1000000000000001E-2</v>
      </c>
      <c r="N9" s="38">
        <f t="shared" si="4"/>
        <v>6.7702761563270139E-2</v>
      </c>
      <c r="O9" s="31">
        <v>106.77027615632701</v>
      </c>
    </row>
    <row r="10" spans="3:15" x14ac:dyDescent="0.3">
      <c r="C10" s="24" t="s">
        <v>3</v>
      </c>
      <c r="D10" s="29">
        <v>100</v>
      </c>
      <c r="E10" s="29">
        <v>3.5000000000000003E-2</v>
      </c>
      <c r="F10" s="30">
        <f t="shared" si="0"/>
        <v>103.5</v>
      </c>
      <c r="G10" s="29">
        <v>9.0000000000000011E-3</v>
      </c>
      <c r="H10" s="30">
        <f t="shared" si="1"/>
        <v>104.4315</v>
      </c>
      <c r="I10" s="29">
        <v>1.6E-2</v>
      </c>
      <c r="J10" s="30">
        <f t="shared" si="2"/>
        <v>106.10240399999999</v>
      </c>
      <c r="K10" s="29">
        <v>2.7000000000000003E-2</v>
      </c>
      <c r="L10" s="30">
        <f t="shared" si="3"/>
        <v>108.96716890799999</v>
      </c>
      <c r="M10" s="29">
        <v>2.6000000000000002E-2</v>
      </c>
      <c r="N10" s="38">
        <f t="shared" si="4"/>
        <v>0.11800315299607987</v>
      </c>
      <c r="O10" s="31">
        <v>111.80031529960799</v>
      </c>
    </row>
    <row r="11" spans="3:15" x14ac:dyDescent="0.3">
      <c r="C11" s="24" t="s">
        <v>4</v>
      </c>
      <c r="D11" s="29">
        <v>100</v>
      </c>
      <c r="E11" s="29">
        <v>3.2000000000000001E-2</v>
      </c>
      <c r="F11" s="30">
        <f t="shared" si="0"/>
        <v>103.2</v>
      </c>
      <c r="G11" s="29">
        <v>1.9099999999999999E-2</v>
      </c>
      <c r="H11" s="30">
        <f t="shared" si="1"/>
        <v>105.17112</v>
      </c>
      <c r="I11" s="29">
        <v>3.9399999999999998E-2</v>
      </c>
      <c r="J11" s="30">
        <f t="shared" si="2"/>
        <v>109.314862128</v>
      </c>
      <c r="K11" s="29">
        <v>2.5600000000000001E-2</v>
      </c>
      <c r="L11" s="30">
        <f t="shared" si="3"/>
        <v>112.1133225984768</v>
      </c>
      <c r="M11" s="29">
        <v>4.8800000000000003E-2</v>
      </c>
      <c r="N11" s="38">
        <f t="shared" si="4"/>
        <v>0.17584452741282461</v>
      </c>
      <c r="O11" s="31">
        <v>117.58445274128246</v>
      </c>
    </row>
    <row r="12" spans="3:15" ht="15" thickBot="1" x14ac:dyDescent="0.35">
      <c r="C12" s="25" t="s">
        <v>6</v>
      </c>
      <c r="D12" s="32">
        <v>100</v>
      </c>
      <c r="E12" s="32">
        <v>7.9000000000000001E-2</v>
      </c>
      <c r="F12" s="33">
        <f t="shared" si="0"/>
        <v>107.9</v>
      </c>
      <c r="G12" s="32">
        <v>2.4E-2</v>
      </c>
      <c r="H12" s="33">
        <f t="shared" si="1"/>
        <v>110.48960000000001</v>
      </c>
      <c r="I12" s="32">
        <v>3.9E-2</v>
      </c>
      <c r="J12" s="33">
        <f t="shared" si="2"/>
        <v>114.79869440000002</v>
      </c>
      <c r="K12" s="32">
        <v>1.9E-2</v>
      </c>
      <c r="L12" s="33">
        <f t="shared" si="3"/>
        <v>116.97986959360001</v>
      </c>
      <c r="M12" s="32">
        <v>5.4000000000000006E-2</v>
      </c>
      <c r="N12" s="39">
        <f t="shared" si="4"/>
        <v>0.23296782551654416</v>
      </c>
      <c r="O12" s="34">
        <v>123.29678255165442</v>
      </c>
    </row>
  </sheetData>
  <mergeCells count="5">
    <mergeCell ref="N5:O5"/>
    <mergeCell ref="E5:F5"/>
    <mergeCell ref="G5:H5"/>
    <mergeCell ref="I5:J5"/>
    <mergeCell ref="K5:L5"/>
  </mergeCells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4"/>
  <sheetViews>
    <sheetView workbookViewId="0">
      <selection activeCell="F4" sqref="F4:F8"/>
    </sheetView>
  </sheetViews>
  <sheetFormatPr baseColWidth="10" defaultColWidth="8.88671875" defaultRowHeight="14.4" x14ac:dyDescent="0.3"/>
  <cols>
    <col min="5" max="5" width="12.5546875" bestFit="1" customWidth="1"/>
    <col min="6" max="6" width="11.33203125" bestFit="1" customWidth="1"/>
  </cols>
  <sheetData>
    <row r="1" spans="1:17" x14ac:dyDescent="0.3">
      <c r="A1" s="47" t="s">
        <v>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</row>
    <row r="3" spans="1:17" x14ac:dyDescent="0.3">
      <c r="D3" s="11" t="s">
        <v>11</v>
      </c>
      <c r="E3" s="11" t="s">
        <v>12</v>
      </c>
      <c r="F3" s="11" t="s">
        <v>13</v>
      </c>
    </row>
    <row r="4" spans="1:17" x14ac:dyDescent="0.3">
      <c r="B4" s="10"/>
      <c r="D4" s="9">
        <v>2019</v>
      </c>
      <c r="E4" s="12">
        <v>520.6</v>
      </c>
      <c r="F4" s="13">
        <v>3.2000000000000001E-2</v>
      </c>
    </row>
    <row r="5" spans="1:17" x14ac:dyDescent="0.3">
      <c r="D5" s="9">
        <v>2020</v>
      </c>
      <c r="E5" s="9">
        <v>537.51</v>
      </c>
      <c r="F5" s="13">
        <v>1.9099999999999999E-2</v>
      </c>
    </row>
    <row r="6" spans="1:17" x14ac:dyDescent="0.3">
      <c r="D6" s="9">
        <v>2021</v>
      </c>
      <c r="E6" s="9">
        <v>547.89</v>
      </c>
      <c r="F6" s="13">
        <v>3.9399999999999998E-2</v>
      </c>
    </row>
    <row r="7" spans="1:17" x14ac:dyDescent="0.3">
      <c r="D7" s="9">
        <v>2022</v>
      </c>
      <c r="E7" s="9">
        <v>569.86</v>
      </c>
      <c r="F7" s="13">
        <v>2.5600000000000001E-2</v>
      </c>
    </row>
    <row r="8" spans="1:17" x14ac:dyDescent="0.3">
      <c r="B8" s="10"/>
      <c r="D8" s="9">
        <v>2023</v>
      </c>
      <c r="E8" s="9">
        <v>584.64</v>
      </c>
      <c r="F8" s="13">
        <v>4.8800000000000003E-2</v>
      </c>
    </row>
    <row r="9" spans="1:17" x14ac:dyDescent="0.3">
      <c r="D9" s="9">
        <v>2024</v>
      </c>
      <c r="E9" s="9">
        <v>613.85</v>
      </c>
      <c r="F9" s="9" t="s">
        <v>10</v>
      </c>
    </row>
    <row r="12" spans="1:17" x14ac:dyDescent="0.3">
      <c r="B12" s="10"/>
    </row>
    <row r="16" spans="1:17" x14ac:dyDescent="0.3">
      <c r="B16" s="10"/>
    </row>
    <row r="20" spans="2:2" x14ac:dyDescent="0.3">
      <c r="B20" s="10"/>
    </row>
    <row r="24" spans="2:2" x14ac:dyDescent="0.3">
      <c r="B24" s="10"/>
    </row>
  </sheetData>
  <mergeCells count="1">
    <mergeCell ref="A1:Q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workbookViewId="0">
      <selection activeCell="G11" sqref="G11"/>
    </sheetView>
  </sheetViews>
  <sheetFormatPr baseColWidth="10" defaultColWidth="8.88671875" defaultRowHeight="14.4" x14ac:dyDescent="0.3"/>
  <cols>
    <col min="5" max="5" width="13.6640625" bestFit="1" customWidth="1"/>
    <col min="6" max="6" width="25.88671875" customWidth="1"/>
    <col min="7" max="7" width="17.33203125" bestFit="1" customWidth="1"/>
  </cols>
  <sheetData>
    <row r="1" spans="1:17" x14ac:dyDescent="0.3">
      <c r="A1" s="47" t="s">
        <v>9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</row>
    <row r="3" spans="1:17" x14ac:dyDescent="0.3">
      <c r="D3" s="11" t="s">
        <v>11</v>
      </c>
      <c r="E3" s="11" t="s">
        <v>12</v>
      </c>
      <c r="F3" s="11" t="s">
        <v>15</v>
      </c>
      <c r="G3" s="11" t="s">
        <v>16</v>
      </c>
    </row>
    <row r="4" spans="1:17" x14ac:dyDescent="0.3">
      <c r="D4" s="9">
        <v>2002</v>
      </c>
      <c r="E4" s="12">
        <v>266.20959480471799</v>
      </c>
      <c r="F4" s="9" t="s">
        <v>10</v>
      </c>
      <c r="G4" s="9" t="s">
        <v>10</v>
      </c>
    </row>
    <row r="5" spans="1:17" x14ac:dyDescent="0.3">
      <c r="D5" s="9">
        <v>2005</v>
      </c>
      <c r="E5" s="12">
        <v>277.90886501853203</v>
      </c>
      <c r="F5" s="13">
        <v>4.3009287364927901E-2</v>
      </c>
      <c r="G5" s="13">
        <f>(LOG(E5)-LOG(E4))/3</f>
        <v>6.2262320577262109E-3</v>
      </c>
    </row>
    <row r="6" spans="1:17" x14ac:dyDescent="0.3">
      <c r="D6" s="9">
        <v>2008</v>
      </c>
      <c r="E6" s="12">
        <v>352.714685128133</v>
      </c>
      <c r="F6" s="13">
        <v>0.238366236419399</v>
      </c>
      <c r="G6" s="13">
        <f t="shared" ref="G6:G11" si="0">(LOG(E6)-LOG(E5))/3</f>
        <v>3.4507047049663786E-2</v>
      </c>
    </row>
    <row r="7" spans="1:17" x14ac:dyDescent="0.3">
      <c r="D7" s="9">
        <v>2011</v>
      </c>
      <c r="E7" s="12">
        <v>471.49994186690799</v>
      </c>
      <c r="F7" s="13">
        <v>0.290259506089802</v>
      </c>
      <c r="G7" s="13">
        <f t="shared" si="0"/>
        <v>4.201936727158806E-2</v>
      </c>
    </row>
    <row r="8" spans="1:17" x14ac:dyDescent="0.3">
      <c r="D8" s="9">
        <v>2014</v>
      </c>
      <c r="E8" s="12">
        <v>406.32428918754499</v>
      </c>
      <c r="F8" s="13">
        <v>-0.148767396161093</v>
      </c>
      <c r="G8" s="13">
        <f t="shared" si="0"/>
        <v>-2.1536286413292565E-2</v>
      </c>
    </row>
    <row r="9" spans="1:17" x14ac:dyDescent="0.3">
      <c r="D9" s="9">
        <v>2017</v>
      </c>
      <c r="E9" s="12">
        <v>366.75840560732399</v>
      </c>
      <c r="F9" s="13">
        <v>-0.10244824668331499</v>
      </c>
      <c r="G9" s="13">
        <f t="shared" si="0"/>
        <v>-1.4830902738408813E-2</v>
      </c>
    </row>
    <row r="10" spans="1:17" x14ac:dyDescent="0.3">
      <c r="D10" s="9">
        <v>2020</v>
      </c>
      <c r="E10" s="12">
        <v>390.25381044589699</v>
      </c>
      <c r="F10" s="13">
        <v>6.2093987527760901E-2</v>
      </c>
      <c r="G10" s="13">
        <f t="shared" si="0"/>
        <v>8.9890253808918939E-3</v>
      </c>
    </row>
    <row r="11" spans="1:17" x14ac:dyDescent="0.3">
      <c r="D11" s="9">
        <v>2022</v>
      </c>
      <c r="E11" s="12">
        <v>442.30128668016403</v>
      </c>
      <c r="F11" s="13">
        <v>0.125193970473748</v>
      </c>
      <c r="G11" s="13">
        <f t="shared" si="0"/>
        <v>1.8123683514768896E-2</v>
      </c>
    </row>
  </sheetData>
  <mergeCells count="1">
    <mergeCell ref="A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Fuentes</vt:lpstr>
      <vt:lpstr>Comparativa</vt:lpstr>
      <vt:lpstr>ECV brutos</vt:lpstr>
      <vt:lpstr>EFF brutos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Lorién Cirera</dc:creator>
  <cp:lastModifiedBy>Lorién Cirera</cp:lastModifiedBy>
  <dcterms:created xsi:type="dcterms:W3CDTF">2025-12-22T10:49:54Z</dcterms:created>
  <dcterms:modified xsi:type="dcterms:W3CDTF">2026-01-14T15:55:50Z</dcterms:modified>
</cp:coreProperties>
</file>