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orie\Desktop\TRABAJO\CGT\Análisis de coyuntura económica\IPC\Nuevo calculo de IPC alternativo para inquilinos\reponderacionIPC_2\"/>
    </mc:Choice>
  </mc:AlternateContent>
  <bookViews>
    <workbookView xWindow="0" yWindow="0" windowWidth="23040" windowHeight="9936"/>
  </bookViews>
  <sheets>
    <sheet name="Limpio" sheetId="4" r:id="rId1"/>
    <sheet name="Comparativa" sheetId="1" r:id="rId2"/>
    <sheet name="IPC brutos" sheetId="8" r:id="rId3"/>
    <sheet name="IPVA brutos" sheetId="9" r:id="rId4"/>
    <sheet name="Idealista brutos" sheetId="5" r:id="rId5"/>
    <sheet name="Fotocasa Brutos" sheetId="6" r:id="rId6"/>
    <sheet name="Serpavi brutos" sheetId="7" r:id="rId7"/>
    <sheet name="ECV brutos" sheetId="2" r:id="rId8"/>
    <sheet name="EFF brutos" sheetId="3" r:id="rId9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9" i="1" l="1"/>
  <c r="N7" i="1"/>
  <c r="H29" i="1"/>
  <c r="H28" i="1"/>
  <c r="H27" i="1"/>
  <c r="H26" i="1"/>
  <c r="H24" i="1"/>
  <c r="G28" i="1"/>
  <c r="G27" i="1"/>
  <c r="G26" i="1"/>
  <c r="G24" i="1"/>
  <c r="N8" i="1" l="1"/>
  <c r="N9" i="1"/>
  <c r="N10" i="1"/>
  <c r="N11" i="1"/>
  <c r="N12" i="1"/>
  <c r="F8" i="1"/>
  <c r="H8" i="1" s="1"/>
  <c r="J8" i="1" s="1"/>
  <c r="L8" i="1" s="1"/>
  <c r="F9" i="1"/>
  <c r="H9" i="1" s="1"/>
  <c r="J9" i="1" s="1"/>
  <c r="L9" i="1" s="1"/>
  <c r="F10" i="1"/>
  <c r="H10" i="1" s="1"/>
  <c r="J10" i="1" s="1"/>
  <c r="L10" i="1" s="1"/>
  <c r="F11" i="1"/>
  <c r="H11" i="1" s="1"/>
  <c r="J11" i="1" s="1"/>
  <c r="L11" i="1" s="1"/>
  <c r="F12" i="1"/>
  <c r="H12" i="1" s="1"/>
  <c r="J12" i="1" s="1"/>
  <c r="L12" i="1" s="1"/>
  <c r="F7" i="1"/>
  <c r="H7" i="1" s="1"/>
  <c r="J7" i="1" s="1"/>
  <c r="L7" i="1" s="1"/>
  <c r="G6" i="3" l="1"/>
  <c r="G7" i="3"/>
  <c r="G8" i="3"/>
  <c r="G9" i="3"/>
  <c r="G10" i="3"/>
  <c r="G11" i="3"/>
  <c r="G5" i="3"/>
</calcChain>
</file>

<file path=xl/sharedStrings.xml><?xml version="1.0" encoding="utf-8"?>
<sst xmlns="http://schemas.openxmlformats.org/spreadsheetml/2006/main" count="189" uniqueCount="56">
  <si>
    <t>Idealista</t>
  </si>
  <si>
    <t>Fotocasa</t>
  </si>
  <si>
    <t>IPC</t>
  </si>
  <si>
    <t>IPVA</t>
  </si>
  <si>
    <t>ECV</t>
  </si>
  <si>
    <t>SERPAVI</t>
  </si>
  <si>
    <t>Script para reproducción de resultados disponible en: https://github.com/maiktreya/ECVmicrodata/blob/main/src/IPC_alquiler.R</t>
  </si>
  <si>
    <t>Script para reproducción de resultados disponible en: https://github.com/maiktreya/EFFmicrodata/blob/main/src/IPC_alquiler_CGT.R</t>
  </si>
  <si>
    <t>NA</t>
  </si>
  <si>
    <t>period</t>
  </si>
  <si>
    <t>monthly rent</t>
  </si>
  <si>
    <t>growth rate</t>
  </si>
  <si>
    <t>growth rate (cumulative)</t>
  </si>
  <si>
    <t>growth rate (year)</t>
  </si>
  <si>
    <t>Base</t>
  </si>
  <si>
    <t>Var. Anual</t>
  </si>
  <si>
    <t>Acum.</t>
  </si>
  <si>
    <t>Var.</t>
  </si>
  <si>
    <t>2018-2023</t>
  </si>
  <si>
    <t>Variación</t>
  </si>
  <si>
    <t>Componente</t>
  </si>
  <si>
    <t>anio</t>
  </si>
  <si>
    <t>mes</t>
  </si>
  <si>
    <t>Precio_m2</t>
  </si>
  <si>
    <t>041 Alquiler de vivienda</t>
  </si>
  <si>
    <t>SERPAVI (vivienda colectiva)</t>
  </si>
  <si>
    <t>IPVA (total)</t>
  </si>
  <si>
    <t>Índices IPVA</t>
  </si>
  <si>
    <t>Resultados nacionales y por comunidades autónomas</t>
  </si>
  <si>
    <t/>
  </si>
  <si>
    <t>Índices nacionales y por comunidades autónomas: general y por tipo de edificación</t>
  </si>
  <si>
    <t>Unidades: Índice</t>
  </si>
  <si>
    <t xml:space="preserve"> </t>
  </si>
  <si>
    <t>2018</t>
  </si>
  <si>
    <t>2019</t>
  </si>
  <si>
    <t>2020</t>
  </si>
  <si>
    <t>2021</t>
  </si>
  <si>
    <t>2022</t>
  </si>
  <si>
    <t>2023</t>
  </si>
  <si>
    <t>Total Nacional</t>
  </si>
  <si>
    <t xml:space="preserve">    Total</t>
  </si>
  <si>
    <t xml:space="preserve">        Índice</t>
  </si>
  <si>
    <t xml:space="preserve">        Variación anual</t>
  </si>
  <si>
    <t>Notas:</t>
  </si>
  <si>
    <t>Por tratarse de una explotación de fuentes tributarias, el ámbito geográfico lo constituye el territorio fiscal común (es decir, todo el territorio nacional excepto Comunidad Foral de Navarra y País Vasco).</t>
  </si>
  <si>
    <t xml:space="preserve">Fuente: </t>
  </si>
  <si>
    <t>Instituto Nacional de Estadística</t>
  </si>
  <si>
    <t>€/m2</t>
  </si>
  <si>
    <t>indice</t>
  </si>
  <si>
    <t>Índice de Precios de Consumo. Base 2021. Medias anuales</t>
  </si>
  <si>
    <t>Resultados nacionales</t>
  </si>
  <si>
    <t>Índices nacionales de subgrupos</t>
  </si>
  <si>
    <t>Media anual</t>
  </si>
  <si>
    <t>2024</t>
  </si>
  <si>
    <t>Variación 2019-2023</t>
  </si>
  <si>
    <t>* Serpavi no incluye País Vasco ni Navarra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</si>
</sst>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%"/>
    <numFmt numFmtId="170" formatCode="#,##0.000"/>
    <numFmt numFmtId="171" formatCode="#,##0.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indexed="8"/>
      <name val="Arial"/>
    </font>
    <font>
      <b/>
      <sz val="10"/>
      <color indexed="8"/>
      <name val="Arial"/>
    </font>
    <font>
      <sz val="11"/>
      <color indexed="9"/>
      <name val="Calibri"/>
    </font>
    <font>
      <sz val="9"/>
      <color indexed="8"/>
      <name val="Arial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89BEBA"/>
      </patternFill>
    </fill>
    <fill>
      <patternFill patternType="solid">
        <fgColor rgb="FFDDEEEC"/>
      </patternFill>
    </fill>
    <fill>
      <patternFill patternType="solid">
        <fgColor rgb="FFFFFFFF"/>
      </patternFill>
    </fill>
    <fill>
      <patternFill patternType="solid">
        <fgColor rgb="FFF3F4F7"/>
      </patternFill>
    </fill>
    <fill>
      <patternFill patternType="solid">
        <fgColor indexed="9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9" fontId="3" fillId="0" borderId="0" applyFont="0" applyFill="0" applyBorder="0" applyAlignment="0" applyProtection="0"/>
  </cellStyleXfs>
  <cellXfs count="61">
    <xf numFmtId="0" fontId="0" fillId="0" borderId="0" xfId="0"/>
    <xf numFmtId="0" fontId="0" fillId="0" borderId="0" xfId="0" applyAlignment="1">
      <alignment horizontal="center"/>
    </xf>
    <xf numFmtId="3" fontId="0" fillId="0" borderId="0" xfId="0" applyNumberForma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2" applyNumberFormat="1" applyFont="1" applyAlignment="1">
      <alignment horizontal="center"/>
    </xf>
    <xf numFmtId="0" fontId="0" fillId="0" borderId="0" xfId="0" applyFill="1" applyBorder="1"/>
    <xf numFmtId="0" fontId="4" fillId="0" borderId="0" xfId="0" applyFont="1" applyFill="1" applyBorder="1"/>
    <xf numFmtId="0" fontId="0" fillId="0" borderId="1" xfId="0" applyFill="1" applyBorder="1"/>
    <xf numFmtId="0" fontId="1" fillId="0" borderId="2" xfId="0" applyFont="1" applyFill="1" applyBorder="1"/>
    <xf numFmtId="0" fontId="0" fillId="0" borderId="4" xfId="0" applyFill="1" applyBorder="1"/>
    <xf numFmtId="0" fontId="1" fillId="0" borderId="4" xfId="0" applyFont="1" applyFill="1" applyBorder="1"/>
    <xf numFmtId="0" fontId="1" fillId="0" borderId="6" xfId="0" applyFont="1" applyFill="1" applyBorder="1"/>
    <xf numFmtId="0" fontId="0" fillId="0" borderId="11" xfId="0" applyFill="1" applyBorder="1"/>
    <xf numFmtId="0" fontId="1" fillId="0" borderId="12" xfId="0" applyFont="1" applyFill="1" applyBorder="1"/>
    <xf numFmtId="0" fontId="0" fillId="0" borderId="13" xfId="0" applyFill="1" applyBorder="1"/>
    <xf numFmtId="0" fontId="0" fillId="2" borderId="9" xfId="0" applyFill="1" applyBorder="1"/>
    <xf numFmtId="0" fontId="0" fillId="2" borderId="0" xfId="0" applyFill="1" applyBorder="1"/>
    <xf numFmtId="0" fontId="0" fillId="2" borderId="5" xfId="0" applyFill="1" applyBorder="1"/>
    <xf numFmtId="0" fontId="0" fillId="2" borderId="10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11" xfId="0" applyFont="1" applyFill="1" applyBorder="1"/>
    <xf numFmtId="0" fontId="1" fillId="0" borderId="16" xfId="0" applyFont="1" applyFill="1" applyBorder="1"/>
    <xf numFmtId="0" fontId="5" fillId="0" borderId="11" xfId="0" applyFont="1" applyFill="1" applyBorder="1"/>
    <xf numFmtId="10" fontId="0" fillId="3" borderId="9" xfId="2" applyNumberFormat="1" applyFont="1" applyFill="1" applyBorder="1"/>
    <xf numFmtId="10" fontId="0" fillId="3" borderId="10" xfId="2" applyNumberFormat="1" applyFont="1" applyFill="1" applyBorder="1"/>
    <xf numFmtId="0" fontId="5" fillId="0" borderId="16" xfId="0" applyFont="1" applyFill="1" applyBorder="1" applyAlignment="1">
      <alignment horizontal="center"/>
    </xf>
    <xf numFmtId="0" fontId="5" fillId="0" borderId="3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0" fontId="1" fillId="0" borderId="15" xfId="0" applyFont="1" applyFill="1" applyBorder="1" applyAlignment="1">
      <alignment horizontal="center"/>
    </xf>
    <xf numFmtId="0" fontId="1" fillId="0" borderId="16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2" applyNumberFormat="1" applyFont="1"/>
    <xf numFmtId="0" fontId="1" fillId="0" borderId="0" xfId="0" applyFont="1" applyAlignment="1">
      <alignment horizontal="center" vertical="center" wrapText="1"/>
    </xf>
    <xf numFmtId="0" fontId="1" fillId="0" borderId="0" xfId="0" applyFont="1"/>
    <xf numFmtId="17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0" fontId="0" fillId="0" borderId="0" xfId="0" applyNumberFormat="1" applyAlignment="1">
      <alignment vertical="center" wrapText="1"/>
    </xf>
    <xf numFmtId="0" fontId="0" fillId="0" borderId="0" xfId="0" applyNumberFormat="1" applyAlignment="1">
      <alignment vertical="center" wrapText="1"/>
    </xf>
    <xf numFmtId="0" fontId="6" fillId="4" borderId="17" xfId="0" applyFont="1" applyFill="1" applyBorder="1"/>
    <xf numFmtId="0" fontId="7" fillId="5" borderId="17" xfId="0" applyFont="1" applyFill="1" applyBorder="1"/>
    <xf numFmtId="0" fontId="8" fillId="6" borderId="17" xfId="0" applyFont="1" applyFill="1" applyBorder="1"/>
    <xf numFmtId="0" fontId="6" fillId="6" borderId="17" xfId="0" applyFont="1" applyFill="1" applyBorder="1"/>
    <xf numFmtId="0" fontId="7" fillId="6" borderId="17" xfId="0" applyFont="1" applyFill="1" applyBorder="1"/>
    <xf numFmtId="0" fontId="0" fillId="4" borderId="17" xfId="0" applyFill="1" applyBorder="1"/>
    <xf numFmtId="0" fontId="7" fillId="4" borderId="17" xfId="0" applyFont="1" applyFill="1" applyBorder="1" applyAlignment="1">
      <alignment horizontal="left"/>
    </xf>
    <xf numFmtId="0" fontId="7" fillId="4" borderId="17" xfId="0" applyFont="1" applyFill="1" applyBorder="1" applyAlignment="1">
      <alignment horizontal="left"/>
    </xf>
    <xf numFmtId="0" fontId="7" fillId="5" borderId="17" xfId="0" applyFont="1" applyFill="1" applyBorder="1" applyAlignment="1">
      <alignment horizontal="left"/>
    </xf>
    <xf numFmtId="0" fontId="7" fillId="5" borderId="17" xfId="0" applyFont="1" applyFill="1" applyBorder="1" applyAlignment="1">
      <alignment horizontal="left"/>
    </xf>
    <xf numFmtId="170" fontId="9" fillId="7" borderId="17" xfId="0" applyNumberFormat="1" applyFont="1" applyFill="1" applyBorder="1" applyAlignment="1">
      <alignment horizontal="right"/>
    </xf>
    <xf numFmtId="171" fontId="9" fillId="7" borderId="17" xfId="0" applyNumberFormat="1" applyFont="1" applyFill="1" applyBorder="1" applyAlignment="1">
      <alignment horizontal="right"/>
    </xf>
    <xf numFmtId="0" fontId="7" fillId="8" borderId="17" xfId="0" applyFont="1" applyFill="1" applyBorder="1"/>
    <xf numFmtId="0" fontId="7" fillId="5" borderId="17" xfId="0" applyFont="1" applyFill="1" applyBorder="1" applyAlignment="1">
      <alignment horizontal="center"/>
    </xf>
    <xf numFmtId="0" fontId="0" fillId="0" borderId="18" xfId="0" applyFill="1" applyBorder="1"/>
    <xf numFmtId="0" fontId="0" fillId="0" borderId="19" xfId="0" applyBorder="1"/>
    <xf numFmtId="164" fontId="0" fillId="0" borderId="20" xfId="2" applyNumberFormat="1" applyFont="1" applyBorder="1"/>
    <xf numFmtId="164" fontId="0" fillId="0" borderId="22" xfId="2" applyNumberFormat="1" applyFont="1" applyBorder="1"/>
    <xf numFmtId="0" fontId="0" fillId="0" borderId="9" xfId="0" applyFont="1" applyFill="1" applyBorder="1"/>
    <xf numFmtId="0" fontId="0" fillId="0" borderId="21" xfId="0" applyFont="1" applyFill="1" applyBorder="1"/>
  </cellXfs>
  <cellStyles count="3">
    <cellStyle name="Normal" xfId="0" builtinId="0"/>
    <cellStyle name="Normal 2" xfId="1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8:J15"/>
  <sheetViews>
    <sheetView tabSelected="1" workbookViewId="0">
      <selection activeCell="D8" sqref="D8:E13"/>
    </sheetView>
  </sheetViews>
  <sheetFormatPr baseColWidth="10" defaultColWidth="11.44140625" defaultRowHeight="14.4" x14ac:dyDescent="0.3"/>
  <cols>
    <col min="4" max="4" width="25.21875" bestFit="1" customWidth="1"/>
    <col min="5" max="5" width="17.88671875" bestFit="1" customWidth="1"/>
  </cols>
  <sheetData>
    <row r="8" spans="4:10" x14ac:dyDescent="0.3">
      <c r="D8" s="55"/>
      <c r="E8" s="56" t="s">
        <v>54</v>
      </c>
    </row>
    <row r="9" spans="4:10" x14ac:dyDescent="0.3">
      <c r="D9" s="59" t="s">
        <v>0</v>
      </c>
      <c r="E9" s="57">
        <v>0.13756097560975611</v>
      </c>
    </row>
    <row r="10" spans="4:10" x14ac:dyDescent="0.3">
      <c r="D10" s="59" t="s">
        <v>2</v>
      </c>
      <c r="E10" s="57">
        <v>5.229689169252684E-2</v>
      </c>
    </row>
    <row r="11" spans="4:10" x14ac:dyDescent="0.3">
      <c r="D11" s="59" t="s">
        <v>3</v>
      </c>
      <c r="E11" s="57">
        <v>7.9346175874326214E-2</v>
      </c>
    </row>
    <row r="12" spans="4:10" x14ac:dyDescent="0.3">
      <c r="D12" s="59" t="s">
        <v>4</v>
      </c>
      <c r="E12" s="57">
        <v>0.1393842319891711</v>
      </c>
    </row>
    <row r="13" spans="4:10" x14ac:dyDescent="0.3">
      <c r="D13" s="60" t="s">
        <v>25</v>
      </c>
      <c r="E13" s="58">
        <v>0.15492957746478869</v>
      </c>
    </row>
    <row r="15" spans="4:10" x14ac:dyDescent="0.3">
      <c r="D15" t="s">
        <v>55</v>
      </c>
      <c r="J15" s="34"/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O29"/>
  <sheetViews>
    <sheetView topLeftCell="B16" workbookViewId="0">
      <selection activeCell="L39" sqref="L39"/>
    </sheetView>
  </sheetViews>
  <sheetFormatPr baseColWidth="10" defaultColWidth="11.44140625" defaultRowHeight="14.4" x14ac:dyDescent="0.3"/>
  <cols>
    <col min="3" max="3" width="25.21875" bestFit="1" customWidth="1"/>
    <col min="5" max="5" width="12.5546875" bestFit="1" customWidth="1"/>
    <col min="6" max="6" width="12.5546875" customWidth="1"/>
    <col min="14" max="14" width="15.5546875" bestFit="1" customWidth="1"/>
  </cols>
  <sheetData>
    <row r="4" spans="3:15" ht="15" thickBot="1" x14ac:dyDescent="0.35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  <c r="O4" s="6"/>
    </row>
    <row r="5" spans="3:15" x14ac:dyDescent="0.3">
      <c r="C5" s="8"/>
      <c r="D5" s="9" t="s">
        <v>14</v>
      </c>
      <c r="E5" s="29">
        <v>2019</v>
      </c>
      <c r="F5" s="30"/>
      <c r="G5" s="31">
        <v>2020</v>
      </c>
      <c r="H5" s="32"/>
      <c r="I5" s="31">
        <v>2021</v>
      </c>
      <c r="J5" s="32"/>
      <c r="K5" s="31">
        <v>2022</v>
      </c>
      <c r="L5" s="32"/>
      <c r="M5" s="23">
        <v>2023</v>
      </c>
      <c r="N5" s="27" t="s">
        <v>18</v>
      </c>
      <c r="O5" s="28"/>
    </row>
    <row r="6" spans="3:15" x14ac:dyDescent="0.3">
      <c r="C6" s="10"/>
      <c r="D6" s="13"/>
      <c r="E6" s="22" t="s">
        <v>15</v>
      </c>
      <c r="F6" s="14" t="s">
        <v>16</v>
      </c>
      <c r="G6" s="22" t="s">
        <v>15</v>
      </c>
      <c r="H6" s="14" t="s">
        <v>16</v>
      </c>
      <c r="I6" s="22" t="s">
        <v>15</v>
      </c>
      <c r="J6" s="14" t="s">
        <v>16</v>
      </c>
      <c r="K6" s="22" t="s">
        <v>15</v>
      </c>
      <c r="L6" s="14" t="s">
        <v>16</v>
      </c>
      <c r="M6" s="22" t="s">
        <v>15</v>
      </c>
      <c r="N6" s="24" t="s">
        <v>17</v>
      </c>
      <c r="O6" s="15" t="s">
        <v>16</v>
      </c>
    </row>
    <row r="7" spans="3:15" x14ac:dyDescent="0.3">
      <c r="C7" s="11" t="s">
        <v>0</v>
      </c>
      <c r="D7" s="16">
        <v>100</v>
      </c>
      <c r="E7" s="16">
        <v>4.5999999999999999E-2</v>
      </c>
      <c r="F7" s="17">
        <f>D7+(D7*E7)</f>
        <v>104.6</v>
      </c>
      <c r="G7" s="16">
        <v>4.7E-2</v>
      </c>
      <c r="H7" s="17">
        <f>F7+(F7*G7)</f>
        <v>109.5162</v>
      </c>
      <c r="I7" s="16">
        <v>-2.8999999999999998E-2</v>
      </c>
      <c r="J7" s="17">
        <f>H7+(H7*I7)</f>
        <v>106.34023019999999</v>
      </c>
      <c r="K7" s="16">
        <v>2.7000000000000003E-2</v>
      </c>
      <c r="L7" s="17">
        <f>J7+(J7*K7)</f>
        <v>109.2114164154</v>
      </c>
      <c r="M7" s="16">
        <v>8.900000000000001E-2</v>
      </c>
      <c r="N7" s="25">
        <f>(O7-100)/100</f>
        <v>0.18931232476370596</v>
      </c>
      <c r="O7" s="18">
        <v>118.9312324763706</v>
      </c>
    </row>
    <row r="8" spans="3:15" x14ac:dyDescent="0.3">
      <c r="C8" s="11" t="s">
        <v>1</v>
      </c>
      <c r="D8" s="16">
        <v>100</v>
      </c>
      <c r="E8" s="16">
        <v>5.0999999999999997E-2</v>
      </c>
      <c r="F8" s="17">
        <f t="shared" ref="F8:F12" si="0">D8+(D8*E8)</f>
        <v>105.1</v>
      </c>
      <c r="G8" s="16">
        <v>4.5999999999999999E-2</v>
      </c>
      <c r="H8" s="17">
        <f t="shared" ref="H8:H12" si="1">F8+(F8*G8)</f>
        <v>109.93459999999999</v>
      </c>
      <c r="I8" s="16">
        <v>-3.6000000000000004E-2</v>
      </c>
      <c r="J8" s="17">
        <f t="shared" ref="J8:J12" si="2">H8+(H8*I8)</f>
        <v>105.97695439999998</v>
      </c>
      <c r="K8" s="16">
        <v>7.400000000000001E-2</v>
      </c>
      <c r="L8" s="17">
        <f t="shared" ref="L8:L12" si="3">J8+(J8*K8)</f>
        <v>113.81924902559999</v>
      </c>
      <c r="M8" s="16">
        <v>5.7000000000000002E-2</v>
      </c>
      <c r="N8" s="25">
        <f t="shared" ref="N8:N12" si="4">(O8-100)/100</f>
        <v>0.20306946220059188</v>
      </c>
      <c r="O8" s="18">
        <v>120.30694622005919</v>
      </c>
    </row>
    <row r="9" spans="3:15" x14ac:dyDescent="0.3">
      <c r="C9" s="11" t="s">
        <v>2</v>
      </c>
      <c r="D9" s="16">
        <v>100</v>
      </c>
      <c r="E9" s="16">
        <v>1.4999999999999999E-2</v>
      </c>
      <c r="F9" s="17">
        <f t="shared" si="0"/>
        <v>101.5</v>
      </c>
      <c r="G9" s="16">
        <v>1.1000000000000001E-2</v>
      </c>
      <c r="H9" s="17">
        <f t="shared" si="1"/>
        <v>102.6165</v>
      </c>
      <c r="I9" s="16">
        <v>6.0000000000000001E-3</v>
      </c>
      <c r="J9" s="17">
        <f t="shared" si="2"/>
        <v>103.23219900000001</v>
      </c>
      <c r="K9" s="16">
        <v>1.3000000000000001E-2</v>
      </c>
      <c r="L9" s="17">
        <f t="shared" si="3"/>
        <v>104.57421758700001</v>
      </c>
      <c r="M9" s="16">
        <v>2.1000000000000001E-2</v>
      </c>
      <c r="N9" s="25">
        <f t="shared" si="4"/>
        <v>6.7702761563270139E-2</v>
      </c>
      <c r="O9" s="18">
        <v>106.77027615632701</v>
      </c>
    </row>
    <row r="10" spans="3:15" x14ac:dyDescent="0.3">
      <c r="C10" s="11" t="s">
        <v>3</v>
      </c>
      <c r="D10" s="16">
        <v>100</v>
      </c>
      <c r="E10" s="16">
        <v>3.5000000000000003E-2</v>
      </c>
      <c r="F10" s="17">
        <f t="shared" si="0"/>
        <v>103.5</v>
      </c>
      <c r="G10" s="16">
        <v>9.0000000000000011E-3</v>
      </c>
      <c r="H10" s="17">
        <f t="shared" si="1"/>
        <v>104.4315</v>
      </c>
      <c r="I10" s="16">
        <v>1.6E-2</v>
      </c>
      <c r="J10" s="17">
        <f t="shared" si="2"/>
        <v>106.10240399999999</v>
      </c>
      <c r="K10" s="16">
        <v>2.7000000000000003E-2</v>
      </c>
      <c r="L10" s="17">
        <f t="shared" si="3"/>
        <v>108.96716890799999</v>
      </c>
      <c r="M10" s="16">
        <v>2.6000000000000002E-2</v>
      </c>
      <c r="N10" s="25">
        <f t="shared" si="4"/>
        <v>0.11800315299607987</v>
      </c>
      <c r="O10" s="18">
        <v>111.80031529960799</v>
      </c>
    </row>
    <row r="11" spans="3:15" x14ac:dyDescent="0.3">
      <c r="C11" s="11" t="s">
        <v>4</v>
      </c>
      <c r="D11" s="16">
        <v>100</v>
      </c>
      <c r="E11" s="16">
        <v>3.2000000000000001E-2</v>
      </c>
      <c r="F11" s="17">
        <f t="shared" si="0"/>
        <v>103.2</v>
      </c>
      <c r="G11" s="16">
        <v>1.9099999999999999E-2</v>
      </c>
      <c r="H11" s="17">
        <f t="shared" si="1"/>
        <v>105.17112</v>
      </c>
      <c r="I11" s="16">
        <v>3.9399999999999998E-2</v>
      </c>
      <c r="J11" s="17">
        <f t="shared" si="2"/>
        <v>109.314862128</v>
      </c>
      <c r="K11" s="16">
        <v>2.5600000000000001E-2</v>
      </c>
      <c r="L11" s="17">
        <f t="shared" si="3"/>
        <v>112.1133225984768</v>
      </c>
      <c r="M11" s="16">
        <v>4.8800000000000003E-2</v>
      </c>
      <c r="N11" s="25">
        <f t="shared" si="4"/>
        <v>0.17584452741282461</v>
      </c>
      <c r="O11" s="18">
        <v>117.58445274128246</v>
      </c>
    </row>
    <row r="12" spans="3:15" ht="15" thickBot="1" x14ac:dyDescent="0.35">
      <c r="C12" s="12" t="s">
        <v>5</v>
      </c>
      <c r="D12" s="19">
        <v>100</v>
      </c>
      <c r="E12" s="19">
        <v>7.9000000000000001E-2</v>
      </c>
      <c r="F12" s="20">
        <f t="shared" si="0"/>
        <v>107.9</v>
      </c>
      <c r="G12" s="19">
        <v>2.4E-2</v>
      </c>
      <c r="H12" s="20">
        <f t="shared" si="1"/>
        <v>110.48960000000001</v>
      </c>
      <c r="I12" s="19">
        <v>3.9E-2</v>
      </c>
      <c r="J12" s="20">
        <f t="shared" si="2"/>
        <v>114.79869440000002</v>
      </c>
      <c r="K12" s="19">
        <v>1.9E-2</v>
      </c>
      <c r="L12" s="20">
        <f t="shared" si="3"/>
        <v>116.97986959360001</v>
      </c>
      <c r="M12" s="19">
        <v>5.4000000000000006E-2</v>
      </c>
      <c r="N12" s="26">
        <f t="shared" si="4"/>
        <v>0.23296782551654416</v>
      </c>
      <c r="O12" s="21">
        <v>123.29678255165442</v>
      </c>
    </row>
    <row r="21" spans="2:8" ht="15" thickBot="1" x14ac:dyDescent="0.35"/>
    <row r="22" spans="2:8" x14ac:dyDescent="0.3">
      <c r="C22" s="8"/>
    </row>
    <row r="23" spans="2:8" x14ac:dyDescent="0.3">
      <c r="C23" s="10"/>
      <c r="D23">
        <v>2018</v>
      </c>
      <c r="E23">
        <v>2019</v>
      </c>
      <c r="F23">
        <v>2023</v>
      </c>
      <c r="G23" t="s">
        <v>19</v>
      </c>
    </row>
    <row r="24" spans="2:8" x14ac:dyDescent="0.3">
      <c r="B24" t="s">
        <v>47</v>
      </c>
      <c r="C24" s="11" t="s">
        <v>0</v>
      </c>
      <c r="D24">
        <v>9.8000000000000007</v>
      </c>
      <c r="E24">
        <v>10.25</v>
      </c>
      <c r="F24">
        <v>11.66</v>
      </c>
      <c r="G24" s="34">
        <f>(F24-E24)/E24</f>
        <v>0.13756097560975611</v>
      </c>
      <c r="H24" s="34">
        <f>(F24-D24)/D24</f>
        <v>0.18979591836734686</v>
      </c>
    </row>
    <row r="25" spans="2:8" x14ac:dyDescent="0.3">
      <c r="C25" s="11" t="s">
        <v>1</v>
      </c>
    </row>
    <row r="26" spans="2:8" x14ac:dyDescent="0.3">
      <c r="C26" s="11" t="s">
        <v>2</v>
      </c>
      <c r="D26" s="51">
        <v>96.793999999999997</v>
      </c>
      <c r="E26" s="51">
        <v>98.284999999999997</v>
      </c>
      <c r="F26" s="51">
        <v>103.425</v>
      </c>
      <c r="G26" s="34">
        <f>(F26-E26)/E26</f>
        <v>5.229689169252684E-2</v>
      </c>
      <c r="H26" s="34">
        <f>(F26-D26)/D26</f>
        <v>6.850631237473398E-2</v>
      </c>
    </row>
    <row r="27" spans="2:8" x14ac:dyDescent="0.3">
      <c r="B27" t="s">
        <v>48</v>
      </c>
      <c r="C27" s="11" t="s">
        <v>26</v>
      </c>
      <c r="D27" s="51">
        <v>106.247</v>
      </c>
      <c r="E27" s="51">
        <v>109.999</v>
      </c>
      <c r="F27" s="51">
        <v>118.727</v>
      </c>
      <c r="G27" s="34">
        <f>(F27-E27)/E27</f>
        <v>7.9346175874326214E-2</v>
      </c>
      <c r="H27" s="34">
        <f>(F27-D27)/D27</f>
        <v>0.11746214010748543</v>
      </c>
    </row>
    <row r="28" spans="2:8" x14ac:dyDescent="0.3">
      <c r="C28" s="11" t="s">
        <v>4</v>
      </c>
      <c r="D28">
        <v>100</v>
      </c>
      <c r="E28">
        <v>103.2</v>
      </c>
      <c r="F28">
        <v>117.58445274128246</v>
      </c>
      <c r="G28" s="34">
        <f>(F28-E28)/E28</f>
        <v>0.1393842319891711</v>
      </c>
      <c r="H28" s="34">
        <f>(F28-D28)/D28</f>
        <v>0.17584452741282461</v>
      </c>
    </row>
    <row r="29" spans="2:8" ht="15" thickBot="1" x14ac:dyDescent="0.35">
      <c r="B29" t="s">
        <v>47</v>
      </c>
      <c r="C29" s="12" t="s">
        <v>25</v>
      </c>
      <c r="D29">
        <v>6.6</v>
      </c>
      <c r="E29">
        <v>7.1</v>
      </c>
      <c r="F29">
        <v>8.1999999999999993</v>
      </c>
      <c r="G29" s="34">
        <f>(F29-E29)/E29</f>
        <v>0.15492957746478869</v>
      </c>
      <c r="H29" s="34">
        <f>(F29-D29)/D29</f>
        <v>0.24242424242424238</v>
      </c>
    </row>
  </sheetData>
  <mergeCells count="5">
    <mergeCell ref="N5:O5"/>
    <mergeCell ref="E5:F5"/>
    <mergeCell ref="G5:H5"/>
    <mergeCell ref="I5:J5"/>
    <mergeCell ref="K5:L5"/>
  </mergeCells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L19"/>
  <sheetViews>
    <sheetView workbookViewId="0">
      <selection activeCell="H13" sqref="H13"/>
    </sheetView>
  </sheetViews>
  <sheetFormatPr baseColWidth="10" defaultRowHeight="14.4" x14ac:dyDescent="0.3"/>
  <sheetData>
    <row r="5" spans="2:12" x14ac:dyDescent="0.3">
      <c r="B5" s="41" t="s">
        <v>49</v>
      </c>
      <c r="C5" s="41"/>
      <c r="D5" s="41"/>
      <c r="E5" s="41"/>
      <c r="F5" s="41"/>
      <c r="G5" s="41"/>
      <c r="H5" s="41"/>
      <c r="I5" s="41"/>
      <c r="J5" s="41"/>
      <c r="K5" s="41"/>
      <c r="L5" s="41"/>
    </row>
    <row r="6" spans="2:12" x14ac:dyDescent="0.3">
      <c r="B6" s="42" t="s">
        <v>50</v>
      </c>
      <c r="C6" s="42"/>
      <c r="D6" s="42"/>
      <c r="E6" s="42"/>
      <c r="F6" s="42"/>
      <c r="G6" s="42"/>
      <c r="H6" s="42"/>
      <c r="I6" s="42"/>
      <c r="J6" s="42"/>
      <c r="K6" s="42"/>
      <c r="L6" s="42"/>
    </row>
    <row r="7" spans="2:12" x14ac:dyDescent="0.3">
      <c r="B7" s="43" t="s">
        <v>29</v>
      </c>
      <c r="C7" s="43"/>
      <c r="D7" s="43"/>
      <c r="E7" s="43"/>
      <c r="F7" s="43"/>
      <c r="G7" s="43"/>
      <c r="H7" s="43"/>
      <c r="I7" s="43"/>
      <c r="J7" s="43"/>
      <c r="K7" s="43"/>
      <c r="L7" s="43"/>
    </row>
    <row r="8" spans="2:12" x14ac:dyDescent="0.3">
      <c r="B8" s="44" t="s">
        <v>51</v>
      </c>
      <c r="C8" s="44"/>
      <c r="D8" s="44"/>
      <c r="E8" s="44"/>
      <c r="F8" s="44"/>
      <c r="G8" s="44"/>
      <c r="H8" s="44"/>
      <c r="I8" s="44"/>
      <c r="J8" s="44"/>
      <c r="K8" s="44"/>
      <c r="L8" s="44"/>
    </row>
    <row r="9" spans="2:12" x14ac:dyDescent="0.3">
      <c r="B9" s="45" t="s">
        <v>31</v>
      </c>
      <c r="C9" s="45"/>
      <c r="D9" s="45"/>
      <c r="E9" s="45"/>
      <c r="F9" s="45"/>
      <c r="G9" s="45"/>
      <c r="H9" s="45"/>
      <c r="I9" s="45"/>
      <c r="J9" s="45"/>
      <c r="K9" s="45"/>
      <c r="L9" s="45"/>
    </row>
    <row r="10" spans="2:12" x14ac:dyDescent="0.3">
      <c r="B10" s="43" t="s">
        <v>29</v>
      </c>
      <c r="C10" s="43"/>
      <c r="D10" s="43"/>
      <c r="E10" s="43"/>
      <c r="F10" s="43"/>
      <c r="G10" s="43"/>
      <c r="H10" s="43"/>
      <c r="I10" s="43"/>
      <c r="J10" s="43"/>
      <c r="K10" s="43"/>
      <c r="L10" s="43"/>
    </row>
    <row r="11" spans="2:12" x14ac:dyDescent="0.3">
      <c r="B11" s="46" t="s">
        <v>32</v>
      </c>
      <c r="C11" s="48" t="s">
        <v>52</v>
      </c>
      <c r="D11" s="48"/>
      <c r="E11" s="48"/>
      <c r="F11" s="48"/>
      <c r="G11" s="48"/>
      <c r="H11" s="48"/>
      <c r="I11" s="48"/>
    </row>
    <row r="12" spans="2:12" x14ac:dyDescent="0.3">
      <c r="B12" s="46" t="s">
        <v>32</v>
      </c>
      <c r="C12" s="54" t="s">
        <v>33</v>
      </c>
      <c r="D12" s="54" t="s">
        <v>34</v>
      </c>
      <c r="E12" s="54" t="s">
        <v>35</v>
      </c>
      <c r="F12" s="54" t="s">
        <v>36</v>
      </c>
      <c r="G12" s="54" t="s">
        <v>37</v>
      </c>
      <c r="H12" s="54" t="s">
        <v>38</v>
      </c>
      <c r="I12" s="54" t="s">
        <v>53</v>
      </c>
    </row>
    <row r="13" spans="2:12" x14ac:dyDescent="0.3">
      <c r="B13" s="47" t="s">
        <v>24</v>
      </c>
      <c r="C13" s="51">
        <v>96.793999999999997</v>
      </c>
      <c r="D13" s="51">
        <v>98.284999999999997</v>
      </c>
      <c r="E13" s="51">
        <v>99.406999999999996</v>
      </c>
      <c r="F13" s="51">
        <v>100</v>
      </c>
      <c r="G13" s="51">
        <v>101.343</v>
      </c>
      <c r="H13" s="51">
        <v>103.425</v>
      </c>
      <c r="I13" s="51">
        <v>105.693</v>
      </c>
    </row>
    <row r="16" spans="2:12" x14ac:dyDescent="0.3">
      <c r="B16" s="53" t="s">
        <v>43</v>
      </c>
    </row>
    <row r="18" spans="2:2" x14ac:dyDescent="0.3">
      <c r="B18" s="53" t="s">
        <v>45</v>
      </c>
    </row>
    <row r="19" spans="2:2" x14ac:dyDescent="0.3">
      <c r="B19" t="s">
        <v>46</v>
      </c>
    </row>
  </sheetData>
  <mergeCells count="7">
    <mergeCell ref="C11:I11"/>
    <mergeCell ref="B5:L5"/>
    <mergeCell ref="B6:L6"/>
    <mergeCell ref="B7:L7"/>
    <mergeCell ref="B8:L8"/>
    <mergeCell ref="B9:L9"/>
    <mergeCell ref="B10:L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K21"/>
  <sheetViews>
    <sheetView workbookViewId="0">
      <selection activeCell="G13" sqref="G13"/>
    </sheetView>
  </sheetViews>
  <sheetFormatPr baseColWidth="10" defaultRowHeight="14.4" x14ac:dyDescent="0.3"/>
  <sheetData>
    <row r="4" spans="1:11" x14ac:dyDescent="0.3">
      <c r="A4" s="41" t="s">
        <v>27</v>
      </c>
      <c r="B4" s="41"/>
      <c r="C4" s="41"/>
      <c r="D4" s="41"/>
      <c r="E4" s="41"/>
      <c r="F4" s="41"/>
      <c r="G4" s="41"/>
      <c r="H4" s="41"/>
      <c r="I4" s="41"/>
      <c r="J4" s="41"/>
      <c r="K4" s="41"/>
    </row>
    <row r="5" spans="1:11" x14ac:dyDescent="0.3">
      <c r="A5" s="42" t="s">
        <v>28</v>
      </c>
      <c r="B5" s="42"/>
      <c r="C5" s="42"/>
      <c r="D5" s="42"/>
      <c r="E5" s="42"/>
      <c r="F5" s="42"/>
      <c r="G5" s="42"/>
      <c r="H5" s="42"/>
      <c r="I5" s="42"/>
      <c r="J5" s="42"/>
      <c r="K5" s="42"/>
    </row>
    <row r="6" spans="1:11" x14ac:dyDescent="0.3">
      <c r="A6" s="43" t="s">
        <v>29</v>
      </c>
      <c r="B6" s="43"/>
      <c r="C6" s="43"/>
      <c r="D6" s="43"/>
      <c r="E6" s="43"/>
      <c r="F6" s="43"/>
      <c r="G6" s="43"/>
      <c r="H6" s="43"/>
      <c r="I6" s="43"/>
      <c r="J6" s="43"/>
      <c r="K6" s="43"/>
    </row>
    <row r="7" spans="1:11" x14ac:dyDescent="0.3">
      <c r="A7" s="44" t="s">
        <v>30</v>
      </c>
      <c r="B7" s="44"/>
      <c r="C7" s="44"/>
      <c r="D7" s="44"/>
      <c r="E7" s="44"/>
      <c r="F7" s="44"/>
      <c r="G7" s="44"/>
      <c r="H7" s="44"/>
      <c r="I7" s="44"/>
      <c r="J7" s="44"/>
      <c r="K7" s="44"/>
    </row>
    <row r="8" spans="1:11" x14ac:dyDescent="0.3">
      <c r="A8" s="45" t="s">
        <v>31</v>
      </c>
      <c r="B8" s="45"/>
      <c r="C8" s="45"/>
      <c r="D8" s="45"/>
      <c r="E8" s="45"/>
      <c r="F8" s="45"/>
      <c r="G8" s="45"/>
      <c r="H8" s="45"/>
      <c r="I8" s="45"/>
      <c r="J8" s="45"/>
      <c r="K8" s="45"/>
    </row>
    <row r="9" spans="1:11" x14ac:dyDescent="0.3">
      <c r="A9" s="43" t="s">
        <v>29</v>
      </c>
      <c r="B9" s="43"/>
      <c r="C9" s="43"/>
      <c r="D9" s="43"/>
      <c r="E9" s="43"/>
      <c r="F9" s="43"/>
      <c r="G9" s="43"/>
      <c r="H9" s="43"/>
      <c r="I9" s="43"/>
      <c r="J9" s="43"/>
      <c r="K9" s="43"/>
    </row>
    <row r="10" spans="1:11" x14ac:dyDescent="0.3">
      <c r="A10" s="46" t="s">
        <v>32</v>
      </c>
      <c r="B10" s="47" t="s">
        <v>33</v>
      </c>
      <c r="C10" s="47" t="s">
        <v>34</v>
      </c>
      <c r="D10" s="47" t="s">
        <v>35</v>
      </c>
      <c r="E10" s="47" t="s">
        <v>36</v>
      </c>
      <c r="F10" s="47" t="s">
        <v>37</v>
      </c>
      <c r="G10" s="47" t="s">
        <v>38</v>
      </c>
    </row>
    <row r="11" spans="1:11" x14ac:dyDescent="0.3">
      <c r="A11" s="48" t="s">
        <v>39</v>
      </c>
      <c r="B11" s="48"/>
      <c r="C11" s="48"/>
      <c r="D11" s="48"/>
      <c r="E11" s="48"/>
      <c r="F11" s="48"/>
      <c r="G11" s="48"/>
    </row>
    <row r="12" spans="1:11" x14ac:dyDescent="0.3">
      <c r="A12" s="49" t="s">
        <v>40</v>
      </c>
      <c r="B12" s="49"/>
      <c r="C12" s="49"/>
      <c r="D12" s="49"/>
      <c r="E12" s="49"/>
      <c r="F12" s="49"/>
      <c r="G12" s="49"/>
    </row>
    <row r="13" spans="1:11" x14ac:dyDescent="0.3">
      <c r="A13" s="50" t="s">
        <v>41</v>
      </c>
      <c r="B13" s="51">
        <v>106.247</v>
      </c>
      <c r="C13" s="51">
        <v>109.999</v>
      </c>
      <c r="D13" s="51">
        <v>110.94199999999999</v>
      </c>
      <c r="E13" s="51">
        <v>112.694</v>
      </c>
      <c r="F13" s="51">
        <v>115.684</v>
      </c>
      <c r="G13" s="51">
        <v>118.727</v>
      </c>
    </row>
    <row r="14" spans="1:11" x14ac:dyDescent="0.3">
      <c r="A14" s="50" t="s">
        <v>42</v>
      </c>
      <c r="B14" s="52">
        <v>2.6</v>
      </c>
      <c r="C14" s="52">
        <v>3.5</v>
      </c>
      <c r="D14" s="52">
        <v>0.9</v>
      </c>
      <c r="E14" s="52">
        <v>1.6</v>
      </c>
      <c r="F14" s="52">
        <v>2.7</v>
      </c>
      <c r="G14" s="52">
        <v>2.6</v>
      </c>
    </row>
    <row r="17" spans="1:1" x14ac:dyDescent="0.3">
      <c r="A17" s="53" t="s">
        <v>43</v>
      </c>
    </row>
    <row r="18" spans="1:1" x14ac:dyDescent="0.3">
      <c r="A18" t="s">
        <v>44</v>
      </c>
    </row>
    <row r="20" spans="1:1" x14ac:dyDescent="0.3">
      <c r="A20" s="53" t="s">
        <v>45</v>
      </c>
    </row>
    <row r="21" spans="1:1" x14ac:dyDescent="0.3">
      <c r="A21" t="s">
        <v>46</v>
      </c>
    </row>
  </sheetData>
  <mergeCells count="8">
    <mergeCell ref="A11:G11"/>
    <mergeCell ref="A12:G12"/>
    <mergeCell ref="A4:K4"/>
    <mergeCell ref="A5:K5"/>
    <mergeCell ref="A6:K6"/>
    <mergeCell ref="A7:K7"/>
    <mergeCell ref="A8:K8"/>
    <mergeCell ref="A9:K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7"/>
  <sheetViews>
    <sheetView workbookViewId="0">
      <selection activeCell="D2" sqref="D2:D13"/>
    </sheetView>
  </sheetViews>
  <sheetFormatPr baseColWidth="10" defaultRowHeight="14.4" x14ac:dyDescent="0.3"/>
  <sheetData>
    <row r="1" spans="1:13" ht="28.8" x14ac:dyDescent="0.3">
      <c r="A1" s="35" t="s">
        <v>20</v>
      </c>
      <c r="B1" s="36" t="s">
        <v>21</v>
      </c>
      <c r="C1" s="36" t="s">
        <v>22</v>
      </c>
      <c r="D1" s="35" t="s">
        <v>23</v>
      </c>
    </row>
    <row r="2" spans="1:13" ht="28.8" x14ac:dyDescent="0.3">
      <c r="A2" s="37" t="s">
        <v>24</v>
      </c>
      <c r="B2">
        <v>2018</v>
      </c>
      <c r="C2">
        <v>1</v>
      </c>
      <c r="D2" s="38">
        <v>9.3000000000000007</v>
      </c>
      <c r="E2" s="37"/>
      <c r="G2" s="40"/>
      <c r="L2" s="39"/>
      <c r="M2" s="39"/>
    </row>
    <row r="3" spans="1:13" ht="28.8" x14ac:dyDescent="0.3">
      <c r="A3" s="37" t="s">
        <v>24</v>
      </c>
      <c r="B3">
        <v>2018</v>
      </c>
      <c r="C3">
        <v>2</v>
      </c>
      <c r="D3" s="38">
        <v>9.5</v>
      </c>
      <c r="E3" s="37"/>
      <c r="G3" s="40"/>
      <c r="L3" s="39"/>
      <c r="M3" s="39"/>
    </row>
    <row r="4" spans="1:13" ht="28.8" x14ac:dyDescent="0.3">
      <c r="A4" s="37" t="s">
        <v>24</v>
      </c>
      <c r="B4">
        <v>2018</v>
      </c>
      <c r="C4">
        <v>3</v>
      </c>
      <c r="D4" s="38">
        <v>9.6</v>
      </c>
      <c r="E4" s="37"/>
      <c r="G4" s="40"/>
      <c r="L4" s="39"/>
      <c r="M4" s="39"/>
    </row>
    <row r="5" spans="1:13" ht="28.8" x14ac:dyDescent="0.3">
      <c r="A5" s="37" t="s">
        <v>24</v>
      </c>
      <c r="B5">
        <v>2018</v>
      </c>
      <c r="C5">
        <v>4</v>
      </c>
      <c r="D5" s="38">
        <v>9.8000000000000007</v>
      </c>
      <c r="E5" s="37"/>
      <c r="G5" s="40"/>
      <c r="L5" s="39"/>
      <c r="M5" s="39"/>
    </row>
    <row r="6" spans="1:13" ht="28.8" x14ac:dyDescent="0.3">
      <c r="A6" s="37" t="s">
        <v>24</v>
      </c>
      <c r="B6">
        <v>2018</v>
      </c>
      <c r="C6">
        <v>5</v>
      </c>
      <c r="D6" s="38">
        <v>9.8000000000000007</v>
      </c>
      <c r="E6" s="37"/>
      <c r="G6" s="40"/>
      <c r="L6" s="39"/>
      <c r="M6" s="39"/>
    </row>
    <row r="7" spans="1:13" ht="28.8" x14ac:dyDescent="0.3">
      <c r="A7" s="37" t="s">
        <v>24</v>
      </c>
      <c r="B7">
        <v>2018</v>
      </c>
      <c r="C7">
        <v>6</v>
      </c>
      <c r="D7" s="38">
        <v>9.9</v>
      </c>
      <c r="E7" s="37"/>
      <c r="G7" s="40"/>
      <c r="L7" s="39"/>
      <c r="M7" s="39"/>
    </row>
    <row r="8" spans="1:13" ht="28.8" x14ac:dyDescent="0.3">
      <c r="A8" s="37" t="s">
        <v>24</v>
      </c>
      <c r="B8">
        <v>2018</v>
      </c>
      <c r="C8">
        <v>7</v>
      </c>
      <c r="D8" s="38">
        <v>9.9</v>
      </c>
      <c r="E8" s="37"/>
      <c r="G8" s="40"/>
      <c r="L8" s="39"/>
      <c r="M8" s="39"/>
    </row>
    <row r="9" spans="1:13" ht="28.8" x14ac:dyDescent="0.3">
      <c r="A9" s="37" t="s">
        <v>24</v>
      </c>
      <c r="B9">
        <v>2018</v>
      </c>
      <c r="C9">
        <v>8</v>
      </c>
      <c r="D9" s="38">
        <v>10</v>
      </c>
      <c r="E9" s="37"/>
      <c r="G9" s="40"/>
      <c r="L9" s="39"/>
      <c r="M9" s="39"/>
    </row>
    <row r="10" spans="1:13" ht="28.8" x14ac:dyDescent="0.3">
      <c r="A10" s="37" t="s">
        <v>24</v>
      </c>
      <c r="B10">
        <v>2018</v>
      </c>
      <c r="C10">
        <v>9</v>
      </c>
      <c r="D10" s="38">
        <v>9.9</v>
      </c>
      <c r="E10" s="37"/>
      <c r="G10" s="40"/>
      <c r="L10" s="39"/>
      <c r="M10" s="39"/>
    </row>
    <row r="11" spans="1:13" ht="28.8" x14ac:dyDescent="0.3">
      <c r="A11" s="37" t="s">
        <v>24</v>
      </c>
      <c r="B11">
        <v>2018</v>
      </c>
      <c r="C11">
        <v>10</v>
      </c>
      <c r="D11" s="38">
        <v>9.9</v>
      </c>
      <c r="E11" s="37"/>
      <c r="G11" s="40"/>
      <c r="L11" s="39"/>
      <c r="M11" s="39"/>
    </row>
    <row r="12" spans="1:13" ht="28.8" x14ac:dyDescent="0.3">
      <c r="A12" s="37" t="s">
        <v>24</v>
      </c>
      <c r="B12">
        <v>2018</v>
      </c>
      <c r="C12">
        <v>11</v>
      </c>
      <c r="D12" s="38">
        <v>10</v>
      </c>
      <c r="E12" s="37"/>
      <c r="G12" s="40"/>
      <c r="L12" s="39"/>
      <c r="M12" s="39"/>
    </row>
    <row r="13" spans="1:13" ht="28.8" x14ac:dyDescent="0.3">
      <c r="A13" s="37" t="s">
        <v>24</v>
      </c>
      <c r="B13">
        <v>2018</v>
      </c>
      <c r="C13">
        <v>12</v>
      </c>
      <c r="D13" s="38">
        <v>10</v>
      </c>
      <c r="E13" s="37"/>
      <c r="G13" s="40"/>
      <c r="L13" s="39"/>
      <c r="M13" s="39"/>
    </row>
    <row r="14" spans="1:13" ht="28.8" x14ac:dyDescent="0.3">
      <c r="A14" s="37" t="s">
        <v>24</v>
      </c>
      <c r="B14">
        <v>2019</v>
      </c>
      <c r="C14">
        <v>1</v>
      </c>
      <c r="D14" s="38">
        <v>10</v>
      </c>
    </row>
    <row r="15" spans="1:13" ht="28.8" x14ac:dyDescent="0.3">
      <c r="A15" s="37" t="s">
        <v>24</v>
      </c>
      <c r="B15">
        <v>2019</v>
      </c>
      <c r="C15">
        <v>2</v>
      </c>
      <c r="D15" s="38">
        <v>10</v>
      </c>
    </row>
    <row r="16" spans="1:13" ht="28.8" x14ac:dyDescent="0.3">
      <c r="A16" s="37" t="s">
        <v>24</v>
      </c>
      <c r="B16">
        <v>2019</v>
      </c>
      <c r="C16">
        <v>3</v>
      </c>
      <c r="D16" s="38">
        <v>10.1</v>
      </c>
    </row>
    <row r="17" spans="1:4" ht="28.8" x14ac:dyDescent="0.3">
      <c r="A17" s="37" t="s">
        <v>24</v>
      </c>
      <c r="B17">
        <v>2019</v>
      </c>
      <c r="C17">
        <v>4</v>
      </c>
      <c r="D17" s="38">
        <v>10.199999999999999</v>
      </c>
    </row>
    <row r="18" spans="1:4" ht="28.8" x14ac:dyDescent="0.3">
      <c r="A18" s="37" t="s">
        <v>24</v>
      </c>
      <c r="B18">
        <v>2019</v>
      </c>
      <c r="C18">
        <v>5</v>
      </c>
      <c r="D18" s="38">
        <v>10.3</v>
      </c>
    </row>
    <row r="19" spans="1:4" ht="28.8" x14ac:dyDescent="0.3">
      <c r="A19" s="37" t="s">
        <v>24</v>
      </c>
      <c r="B19">
        <v>2019</v>
      </c>
      <c r="C19">
        <v>6</v>
      </c>
      <c r="D19" s="38">
        <v>10.4</v>
      </c>
    </row>
    <row r="20" spans="1:4" ht="28.8" x14ac:dyDescent="0.3">
      <c r="A20" s="37" t="s">
        <v>24</v>
      </c>
      <c r="B20">
        <v>2019</v>
      </c>
      <c r="C20">
        <v>7</v>
      </c>
      <c r="D20" s="38">
        <v>10.4</v>
      </c>
    </row>
    <row r="21" spans="1:4" ht="28.8" x14ac:dyDescent="0.3">
      <c r="A21" s="37" t="s">
        <v>24</v>
      </c>
      <c r="B21">
        <v>2019</v>
      </c>
      <c r="C21">
        <v>8</v>
      </c>
      <c r="D21" s="38">
        <v>10.4</v>
      </c>
    </row>
    <row r="22" spans="1:4" ht="28.8" x14ac:dyDescent="0.3">
      <c r="A22" s="37" t="s">
        <v>24</v>
      </c>
      <c r="B22">
        <v>2019</v>
      </c>
      <c r="C22">
        <v>9</v>
      </c>
      <c r="D22" s="38">
        <v>10.3</v>
      </c>
    </row>
    <row r="23" spans="1:4" ht="28.8" x14ac:dyDescent="0.3">
      <c r="A23" s="37" t="s">
        <v>24</v>
      </c>
      <c r="B23">
        <v>2019</v>
      </c>
      <c r="C23">
        <v>10</v>
      </c>
      <c r="D23" s="38">
        <v>10.199999999999999</v>
      </c>
    </row>
    <row r="24" spans="1:4" ht="28.8" x14ac:dyDescent="0.3">
      <c r="A24" s="37" t="s">
        <v>24</v>
      </c>
      <c r="B24">
        <v>2019</v>
      </c>
      <c r="C24">
        <v>11</v>
      </c>
      <c r="D24" s="38">
        <v>10.3</v>
      </c>
    </row>
    <row r="25" spans="1:4" ht="28.8" x14ac:dyDescent="0.3">
      <c r="A25" s="37" t="s">
        <v>24</v>
      </c>
      <c r="B25">
        <v>2019</v>
      </c>
      <c r="C25">
        <v>12</v>
      </c>
      <c r="D25" s="38">
        <v>10.4</v>
      </c>
    </row>
    <row r="26" spans="1:4" ht="28.8" x14ac:dyDescent="0.3">
      <c r="A26" s="37" t="s">
        <v>24</v>
      </c>
      <c r="B26">
        <v>2020</v>
      </c>
      <c r="C26">
        <v>1</v>
      </c>
      <c r="D26" s="38">
        <v>10.4</v>
      </c>
    </row>
    <row r="27" spans="1:4" ht="28.8" x14ac:dyDescent="0.3">
      <c r="A27" s="37" t="s">
        <v>24</v>
      </c>
      <c r="B27">
        <v>2020</v>
      </c>
      <c r="C27">
        <v>2</v>
      </c>
      <c r="D27" s="38">
        <v>10.5</v>
      </c>
    </row>
    <row r="28" spans="1:4" ht="28.8" x14ac:dyDescent="0.3">
      <c r="A28" s="37" t="s">
        <v>24</v>
      </c>
      <c r="B28">
        <v>2020</v>
      </c>
      <c r="C28">
        <v>3</v>
      </c>
      <c r="D28" s="38">
        <v>10.6</v>
      </c>
    </row>
    <row r="29" spans="1:4" ht="28.8" x14ac:dyDescent="0.3">
      <c r="A29" s="37" t="s">
        <v>24</v>
      </c>
      <c r="B29">
        <v>2020</v>
      </c>
      <c r="C29">
        <v>4</v>
      </c>
      <c r="D29" s="38">
        <v>10.7</v>
      </c>
    </row>
    <row r="30" spans="1:4" ht="28.8" x14ac:dyDescent="0.3">
      <c r="A30" s="37" t="s">
        <v>24</v>
      </c>
      <c r="B30">
        <v>2020</v>
      </c>
      <c r="C30">
        <v>5</v>
      </c>
      <c r="D30" s="38">
        <v>10.8</v>
      </c>
    </row>
    <row r="31" spans="1:4" ht="28.8" x14ac:dyDescent="0.3">
      <c r="A31" s="37" t="s">
        <v>24</v>
      </c>
      <c r="B31">
        <v>2020</v>
      </c>
      <c r="C31">
        <v>6</v>
      </c>
      <c r="D31" s="38">
        <v>10.9</v>
      </c>
    </row>
    <row r="32" spans="1:4" ht="28.8" x14ac:dyDescent="0.3">
      <c r="A32" s="37" t="s">
        <v>24</v>
      </c>
      <c r="B32">
        <v>2020</v>
      </c>
      <c r="C32">
        <v>7</v>
      </c>
      <c r="D32" s="38">
        <v>10.9</v>
      </c>
    </row>
    <row r="33" spans="1:4" ht="28.8" x14ac:dyDescent="0.3">
      <c r="A33" s="37" t="s">
        <v>24</v>
      </c>
      <c r="B33">
        <v>2020</v>
      </c>
      <c r="C33">
        <v>8</v>
      </c>
      <c r="D33" s="38">
        <v>10.9</v>
      </c>
    </row>
    <row r="34" spans="1:4" ht="28.8" x14ac:dyDescent="0.3">
      <c r="A34" s="37" t="s">
        <v>24</v>
      </c>
      <c r="B34">
        <v>2020</v>
      </c>
      <c r="C34">
        <v>9</v>
      </c>
      <c r="D34" s="38">
        <v>10.8</v>
      </c>
    </row>
    <row r="35" spans="1:4" ht="28.8" x14ac:dyDescent="0.3">
      <c r="A35" s="37" t="s">
        <v>24</v>
      </c>
      <c r="B35">
        <v>2020</v>
      </c>
      <c r="C35">
        <v>10</v>
      </c>
      <c r="D35" s="38">
        <v>10.8</v>
      </c>
    </row>
    <row r="36" spans="1:4" ht="28.8" x14ac:dyDescent="0.3">
      <c r="A36" s="37" t="s">
        <v>24</v>
      </c>
      <c r="B36">
        <v>2020</v>
      </c>
      <c r="C36">
        <v>11</v>
      </c>
      <c r="D36" s="38">
        <v>10.8</v>
      </c>
    </row>
    <row r="37" spans="1:4" ht="28.8" x14ac:dyDescent="0.3">
      <c r="A37" s="37" t="s">
        <v>24</v>
      </c>
      <c r="B37">
        <v>2020</v>
      </c>
      <c r="C37">
        <v>12</v>
      </c>
      <c r="D37" s="38">
        <v>10.7</v>
      </c>
    </row>
    <row r="38" spans="1:4" ht="28.8" x14ac:dyDescent="0.3">
      <c r="A38" s="37" t="s">
        <v>24</v>
      </c>
      <c r="B38">
        <v>2021</v>
      </c>
      <c r="C38">
        <v>1</v>
      </c>
      <c r="D38" s="38">
        <v>10.6</v>
      </c>
    </row>
    <row r="39" spans="1:4" ht="28.8" x14ac:dyDescent="0.3">
      <c r="A39" s="37" t="s">
        <v>24</v>
      </c>
      <c r="B39">
        <v>2021</v>
      </c>
      <c r="C39">
        <v>2</v>
      </c>
      <c r="D39" s="38">
        <v>10.5</v>
      </c>
    </row>
    <row r="40" spans="1:4" ht="28.8" x14ac:dyDescent="0.3">
      <c r="A40" s="37" t="s">
        <v>24</v>
      </c>
      <c r="B40">
        <v>2021</v>
      </c>
      <c r="C40">
        <v>3</v>
      </c>
      <c r="D40" s="38">
        <v>10.5</v>
      </c>
    </row>
    <row r="41" spans="1:4" ht="28.8" x14ac:dyDescent="0.3">
      <c r="A41" s="37" t="s">
        <v>24</v>
      </c>
      <c r="B41">
        <v>2021</v>
      </c>
      <c r="C41">
        <v>4</v>
      </c>
      <c r="D41" s="38">
        <v>10.5</v>
      </c>
    </row>
    <row r="42" spans="1:4" ht="28.8" x14ac:dyDescent="0.3">
      <c r="A42" s="37" t="s">
        <v>24</v>
      </c>
      <c r="B42">
        <v>2021</v>
      </c>
      <c r="C42">
        <v>5</v>
      </c>
      <c r="D42" s="38">
        <v>10.5</v>
      </c>
    </row>
    <row r="43" spans="1:4" ht="28.8" x14ac:dyDescent="0.3">
      <c r="A43" s="37" t="s">
        <v>24</v>
      </c>
      <c r="B43">
        <v>2021</v>
      </c>
      <c r="C43">
        <v>6</v>
      </c>
      <c r="D43" s="38">
        <v>10.5</v>
      </c>
    </row>
    <row r="44" spans="1:4" ht="28.8" x14ac:dyDescent="0.3">
      <c r="A44" s="37" t="s">
        <v>24</v>
      </c>
      <c r="B44">
        <v>2021</v>
      </c>
      <c r="C44">
        <v>7</v>
      </c>
      <c r="D44" s="38">
        <v>10.4</v>
      </c>
    </row>
    <row r="45" spans="1:4" ht="28.8" x14ac:dyDescent="0.3">
      <c r="A45" s="37" t="s">
        <v>24</v>
      </c>
      <c r="B45">
        <v>2021</v>
      </c>
      <c r="C45">
        <v>8</v>
      </c>
      <c r="D45" s="38">
        <v>10.4</v>
      </c>
    </row>
    <row r="46" spans="1:4" ht="28.8" x14ac:dyDescent="0.3">
      <c r="A46" s="37" t="s">
        <v>24</v>
      </c>
      <c r="B46">
        <v>2021</v>
      </c>
      <c r="C46">
        <v>9</v>
      </c>
      <c r="D46" s="38">
        <v>10.3</v>
      </c>
    </row>
    <row r="47" spans="1:4" ht="28.8" x14ac:dyDescent="0.3">
      <c r="A47" s="37" t="s">
        <v>24</v>
      </c>
      <c r="B47">
        <v>2021</v>
      </c>
      <c r="C47">
        <v>10</v>
      </c>
      <c r="D47" s="38">
        <v>10.3</v>
      </c>
    </row>
    <row r="48" spans="1:4" ht="28.8" x14ac:dyDescent="0.3">
      <c r="A48" s="37" t="s">
        <v>24</v>
      </c>
      <c r="B48">
        <v>2021</v>
      </c>
      <c r="C48">
        <v>11</v>
      </c>
      <c r="D48" s="38">
        <v>10.3</v>
      </c>
    </row>
    <row r="49" spans="1:4" ht="28.8" x14ac:dyDescent="0.3">
      <c r="A49" s="37" t="s">
        <v>24</v>
      </c>
      <c r="B49">
        <v>2021</v>
      </c>
      <c r="C49">
        <v>12</v>
      </c>
      <c r="D49" s="38">
        <v>10.3</v>
      </c>
    </row>
    <row r="50" spans="1:4" ht="28.8" x14ac:dyDescent="0.3">
      <c r="A50" s="37" t="s">
        <v>24</v>
      </c>
      <c r="B50">
        <v>2022</v>
      </c>
      <c r="C50">
        <v>1</v>
      </c>
      <c r="D50" s="38">
        <v>10.4</v>
      </c>
    </row>
    <row r="51" spans="1:4" ht="28.8" x14ac:dyDescent="0.3">
      <c r="A51" s="37" t="s">
        <v>24</v>
      </c>
      <c r="B51">
        <v>2022</v>
      </c>
      <c r="C51">
        <v>2</v>
      </c>
      <c r="D51" s="38">
        <v>10.4</v>
      </c>
    </row>
    <row r="52" spans="1:4" ht="28.8" x14ac:dyDescent="0.3">
      <c r="A52" s="37" t="s">
        <v>24</v>
      </c>
      <c r="B52">
        <v>2022</v>
      </c>
      <c r="C52">
        <v>3</v>
      </c>
      <c r="D52" s="38">
        <v>10.5</v>
      </c>
    </row>
    <row r="53" spans="1:4" ht="28.8" x14ac:dyDescent="0.3">
      <c r="A53" s="37" t="s">
        <v>24</v>
      </c>
      <c r="B53">
        <v>2022</v>
      </c>
      <c r="C53">
        <v>4</v>
      </c>
      <c r="D53" s="38">
        <v>10.5</v>
      </c>
    </row>
    <row r="54" spans="1:4" ht="28.8" x14ac:dyDescent="0.3">
      <c r="A54" s="37" t="s">
        <v>24</v>
      </c>
      <c r="B54">
        <v>2022</v>
      </c>
      <c r="C54">
        <v>5</v>
      </c>
      <c r="D54" s="38">
        <v>10.6</v>
      </c>
    </row>
    <row r="55" spans="1:4" ht="28.8" x14ac:dyDescent="0.3">
      <c r="A55" s="37" t="s">
        <v>24</v>
      </c>
      <c r="B55">
        <v>2022</v>
      </c>
      <c r="C55">
        <v>6</v>
      </c>
      <c r="D55" s="38">
        <v>10.8</v>
      </c>
    </row>
    <row r="56" spans="1:4" ht="28.8" x14ac:dyDescent="0.3">
      <c r="A56" s="37" t="s">
        <v>24</v>
      </c>
      <c r="B56">
        <v>2022</v>
      </c>
      <c r="C56">
        <v>7</v>
      </c>
      <c r="D56" s="38">
        <v>10.9</v>
      </c>
    </row>
    <row r="57" spans="1:4" ht="28.8" x14ac:dyDescent="0.3">
      <c r="A57" s="37" t="s">
        <v>24</v>
      </c>
      <c r="B57">
        <v>2022</v>
      </c>
      <c r="C57">
        <v>8</v>
      </c>
      <c r="D57" s="38">
        <v>10.9</v>
      </c>
    </row>
    <row r="58" spans="1:4" ht="28.8" x14ac:dyDescent="0.3">
      <c r="A58" s="37" t="s">
        <v>24</v>
      </c>
      <c r="B58">
        <v>2022</v>
      </c>
      <c r="C58">
        <v>9</v>
      </c>
      <c r="D58" s="38">
        <v>10.8</v>
      </c>
    </row>
    <row r="59" spans="1:4" ht="28.8" x14ac:dyDescent="0.3">
      <c r="A59" s="37" t="s">
        <v>24</v>
      </c>
      <c r="B59">
        <v>2022</v>
      </c>
      <c r="C59">
        <v>10</v>
      </c>
      <c r="D59" s="38">
        <v>10.8</v>
      </c>
    </row>
    <row r="60" spans="1:4" ht="28.8" x14ac:dyDescent="0.3">
      <c r="A60" s="37" t="s">
        <v>24</v>
      </c>
      <c r="B60">
        <v>2022</v>
      </c>
      <c r="C60">
        <v>11</v>
      </c>
      <c r="D60" s="38">
        <v>10.9</v>
      </c>
    </row>
    <row r="61" spans="1:4" ht="28.8" x14ac:dyDescent="0.3">
      <c r="A61" s="37" t="s">
        <v>24</v>
      </c>
      <c r="B61">
        <v>2022</v>
      </c>
      <c r="C61">
        <v>12</v>
      </c>
      <c r="D61" s="38">
        <v>11</v>
      </c>
    </row>
    <row r="62" spans="1:4" ht="28.8" x14ac:dyDescent="0.3">
      <c r="A62" s="37" t="s">
        <v>24</v>
      </c>
      <c r="B62">
        <v>2023</v>
      </c>
      <c r="C62">
        <v>1</v>
      </c>
      <c r="D62" s="38">
        <v>11.2</v>
      </c>
    </row>
    <row r="63" spans="1:4" ht="28.8" x14ac:dyDescent="0.3">
      <c r="A63" s="37" t="s">
        <v>24</v>
      </c>
      <c r="B63">
        <v>2023</v>
      </c>
      <c r="C63">
        <v>2</v>
      </c>
      <c r="D63" s="38">
        <v>11.2</v>
      </c>
    </row>
    <row r="64" spans="1:4" ht="28.8" x14ac:dyDescent="0.3">
      <c r="A64" s="37" t="s">
        <v>24</v>
      </c>
      <c r="B64">
        <v>2023</v>
      </c>
      <c r="C64">
        <v>3</v>
      </c>
      <c r="D64" s="38">
        <v>11.3</v>
      </c>
    </row>
    <row r="65" spans="1:4" ht="28.8" x14ac:dyDescent="0.3">
      <c r="A65" s="37" t="s">
        <v>24</v>
      </c>
      <c r="B65">
        <v>2023</v>
      </c>
      <c r="C65">
        <v>4</v>
      </c>
      <c r="D65" s="38">
        <v>11.5</v>
      </c>
    </row>
    <row r="66" spans="1:4" ht="28.8" x14ac:dyDescent="0.3">
      <c r="A66" s="37" t="s">
        <v>24</v>
      </c>
      <c r="B66">
        <v>2023</v>
      </c>
      <c r="C66">
        <v>5</v>
      </c>
      <c r="D66" s="38">
        <v>11.6</v>
      </c>
    </row>
    <row r="67" spans="1:4" ht="28.8" x14ac:dyDescent="0.3">
      <c r="A67" s="37" t="s">
        <v>24</v>
      </c>
      <c r="B67">
        <v>2023</v>
      </c>
      <c r="C67">
        <v>6</v>
      </c>
      <c r="D67" s="38">
        <v>11.8</v>
      </c>
    </row>
    <row r="68" spans="1:4" ht="28.8" x14ac:dyDescent="0.3">
      <c r="A68" s="37" t="s">
        <v>24</v>
      </c>
      <c r="B68">
        <v>2023</v>
      </c>
      <c r="C68">
        <v>7</v>
      </c>
      <c r="D68" s="38">
        <v>11.9</v>
      </c>
    </row>
    <row r="69" spans="1:4" ht="28.8" x14ac:dyDescent="0.3">
      <c r="A69" s="37" t="s">
        <v>24</v>
      </c>
      <c r="B69">
        <v>2023</v>
      </c>
      <c r="C69">
        <v>8</v>
      </c>
      <c r="D69" s="38">
        <v>11.9</v>
      </c>
    </row>
    <row r="70" spans="1:4" ht="28.8" x14ac:dyDescent="0.3">
      <c r="A70" s="37" t="s">
        <v>24</v>
      </c>
      <c r="B70">
        <v>2023</v>
      </c>
      <c r="C70">
        <v>9</v>
      </c>
      <c r="D70" s="38">
        <v>11.8</v>
      </c>
    </row>
    <row r="71" spans="1:4" ht="28.8" x14ac:dyDescent="0.3">
      <c r="A71" s="37" t="s">
        <v>24</v>
      </c>
      <c r="B71">
        <v>2023</v>
      </c>
      <c r="C71">
        <v>10</v>
      </c>
      <c r="D71" s="38">
        <v>11.8</v>
      </c>
    </row>
    <row r="72" spans="1:4" ht="28.8" x14ac:dyDescent="0.3">
      <c r="A72" s="37" t="s">
        <v>24</v>
      </c>
      <c r="B72">
        <v>2023</v>
      </c>
      <c r="C72">
        <v>11</v>
      </c>
      <c r="D72" s="38">
        <v>11.9</v>
      </c>
    </row>
    <row r="73" spans="1:4" ht="28.8" x14ac:dyDescent="0.3">
      <c r="A73" s="37" t="s">
        <v>24</v>
      </c>
      <c r="B73">
        <v>2023</v>
      </c>
      <c r="C73">
        <v>12</v>
      </c>
      <c r="D73" s="38">
        <v>12.1</v>
      </c>
    </row>
    <row r="74" spans="1:4" ht="28.8" x14ac:dyDescent="0.3">
      <c r="A74" s="37" t="s">
        <v>24</v>
      </c>
      <c r="B74">
        <v>2024</v>
      </c>
      <c r="C74">
        <v>1</v>
      </c>
      <c r="D74" s="38">
        <v>12.4</v>
      </c>
    </row>
    <row r="75" spans="1:4" ht="28.8" x14ac:dyDescent="0.3">
      <c r="A75" s="37" t="s">
        <v>24</v>
      </c>
      <c r="B75">
        <v>2024</v>
      </c>
      <c r="C75">
        <v>2</v>
      </c>
      <c r="D75" s="38">
        <v>12.6</v>
      </c>
    </row>
    <row r="76" spans="1:4" ht="28.8" x14ac:dyDescent="0.3">
      <c r="A76" s="37" t="s">
        <v>24</v>
      </c>
      <c r="B76">
        <v>2024</v>
      </c>
      <c r="C76">
        <v>3</v>
      </c>
      <c r="D76" s="38">
        <v>12.7</v>
      </c>
    </row>
    <row r="77" spans="1:4" ht="28.8" x14ac:dyDescent="0.3">
      <c r="A77" s="37" t="s">
        <v>24</v>
      </c>
      <c r="B77">
        <v>2024</v>
      </c>
      <c r="C77">
        <v>4</v>
      </c>
      <c r="D77" s="38">
        <v>12.7</v>
      </c>
    </row>
    <row r="78" spans="1:4" ht="28.8" x14ac:dyDescent="0.3">
      <c r="A78" s="37" t="s">
        <v>24</v>
      </c>
      <c r="B78">
        <v>2024</v>
      </c>
      <c r="C78">
        <v>5</v>
      </c>
      <c r="D78" s="38">
        <v>13.2</v>
      </c>
    </row>
    <row r="79" spans="1:4" ht="28.8" x14ac:dyDescent="0.3">
      <c r="A79" s="37" t="s">
        <v>24</v>
      </c>
      <c r="B79">
        <v>2024</v>
      </c>
      <c r="C79">
        <v>6</v>
      </c>
      <c r="D79" s="38">
        <v>13.4</v>
      </c>
    </row>
    <row r="80" spans="1:4" ht="28.8" x14ac:dyDescent="0.3">
      <c r="A80" s="37" t="s">
        <v>24</v>
      </c>
      <c r="B80">
        <v>2024</v>
      </c>
      <c r="C80">
        <v>7</v>
      </c>
      <c r="D80" s="38">
        <v>13.1</v>
      </c>
    </row>
    <row r="81" spans="1:4" ht="28.8" x14ac:dyDescent="0.3">
      <c r="A81" s="37" t="s">
        <v>24</v>
      </c>
      <c r="B81">
        <v>2024</v>
      </c>
      <c r="C81">
        <v>8</v>
      </c>
      <c r="D81" s="38">
        <v>13.1</v>
      </c>
    </row>
    <row r="82" spans="1:4" ht="28.8" x14ac:dyDescent="0.3">
      <c r="A82" s="37" t="s">
        <v>24</v>
      </c>
      <c r="B82">
        <v>2024</v>
      </c>
      <c r="C82">
        <v>9</v>
      </c>
      <c r="D82" s="38">
        <v>13</v>
      </c>
    </row>
    <row r="83" spans="1:4" ht="28.8" x14ac:dyDescent="0.3">
      <c r="A83" s="37" t="s">
        <v>24</v>
      </c>
      <c r="B83">
        <v>2024</v>
      </c>
      <c r="C83">
        <v>10</v>
      </c>
      <c r="D83" s="38">
        <v>13</v>
      </c>
    </row>
    <row r="84" spans="1:4" ht="28.8" x14ac:dyDescent="0.3">
      <c r="A84" s="37" t="s">
        <v>24</v>
      </c>
      <c r="B84">
        <v>2024</v>
      </c>
      <c r="C84">
        <v>11</v>
      </c>
      <c r="D84" s="38">
        <v>13.3</v>
      </c>
    </row>
    <row r="85" spans="1:4" ht="28.8" x14ac:dyDescent="0.3">
      <c r="A85" s="37" t="s">
        <v>24</v>
      </c>
      <c r="B85">
        <v>2024</v>
      </c>
      <c r="C85">
        <v>12</v>
      </c>
      <c r="D85" s="38">
        <v>13.5</v>
      </c>
    </row>
    <row r="86" spans="1:4" ht="28.8" x14ac:dyDescent="0.3">
      <c r="A86" s="37" t="s">
        <v>24</v>
      </c>
      <c r="B86">
        <v>2025</v>
      </c>
      <c r="C86">
        <v>1</v>
      </c>
      <c r="D86" s="38">
        <v>13.8</v>
      </c>
    </row>
    <row r="87" spans="1:4" ht="28.8" x14ac:dyDescent="0.3">
      <c r="A87" s="37" t="s">
        <v>24</v>
      </c>
      <c r="B87">
        <v>2025</v>
      </c>
      <c r="C87">
        <v>2</v>
      </c>
      <c r="D87" s="38">
        <v>14</v>
      </c>
    </row>
    <row r="88" spans="1:4" ht="28.8" x14ac:dyDescent="0.3">
      <c r="A88" s="37" t="s">
        <v>24</v>
      </c>
      <c r="B88">
        <v>2025</v>
      </c>
      <c r="C88">
        <v>3</v>
      </c>
      <c r="D88" s="38">
        <v>14</v>
      </c>
    </row>
    <row r="89" spans="1:4" ht="28.8" x14ac:dyDescent="0.3">
      <c r="A89" s="37" t="s">
        <v>24</v>
      </c>
      <c r="B89">
        <v>2025</v>
      </c>
      <c r="C89">
        <v>4</v>
      </c>
      <c r="D89" s="38">
        <v>14.3</v>
      </c>
    </row>
    <row r="90" spans="1:4" ht="28.8" x14ac:dyDescent="0.3">
      <c r="A90" s="37" t="s">
        <v>24</v>
      </c>
      <c r="B90">
        <v>2025</v>
      </c>
      <c r="C90">
        <v>5</v>
      </c>
      <c r="D90" s="38">
        <v>14.5</v>
      </c>
    </row>
    <row r="91" spans="1:4" ht="28.8" x14ac:dyDescent="0.3">
      <c r="A91" s="37" t="s">
        <v>24</v>
      </c>
      <c r="B91">
        <v>2025</v>
      </c>
      <c r="C91">
        <v>6</v>
      </c>
      <c r="D91" s="38">
        <v>14.6</v>
      </c>
    </row>
    <row r="92" spans="1:4" ht="28.8" x14ac:dyDescent="0.3">
      <c r="A92" s="37" t="s">
        <v>24</v>
      </c>
      <c r="B92">
        <v>2025</v>
      </c>
      <c r="C92">
        <v>7</v>
      </c>
      <c r="D92" s="38">
        <v>14.6</v>
      </c>
    </row>
    <row r="93" spans="1:4" ht="28.8" x14ac:dyDescent="0.3">
      <c r="A93" s="37" t="s">
        <v>24</v>
      </c>
      <c r="B93">
        <v>2025</v>
      </c>
      <c r="C93">
        <v>8</v>
      </c>
      <c r="D93">
        <v>14.5</v>
      </c>
    </row>
    <row r="94" spans="1:4" ht="28.8" x14ac:dyDescent="0.3">
      <c r="A94" s="37" t="s">
        <v>24</v>
      </c>
      <c r="B94">
        <v>2025</v>
      </c>
      <c r="C94">
        <v>9</v>
      </c>
      <c r="D94">
        <v>14.5</v>
      </c>
    </row>
    <row r="95" spans="1:4" ht="28.8" x14ac:dyDescent="0.3">
      <c r="A95" s="37" t="s">
        <v>24</v>
      </c>
      <c r="B95">
        <v>2025</v>
      </c>
      <c r="C95">
        <v>10</v>
      </c>
      <c r="D95">
        <v>14.5</v>
      </c>
    </row>
    <row r="96" spans="1:4" ht="28.8" x14ac:dyDescent="0.3">
      <c r="A96" s="37" t="s">
        <v>24</v>
      </c>
      <c r="B96">
        <v>2025</v>
      </c>
      <c r="C96">
        <v>11</v>
      </c>
      <c r="D96">
        <v>14.6</v>
      </c>
    </row>
    <row r="97" spans="1:4" ht="28.8" x14ac:dyDescent="0.3">
      <c r="A97" s="37" t="s">
        <v>24</v>
      </c>
      <c r="B97">
        <v>2025</v>
      </c>
      <c r="C97">
        <v>12</v>
      </c>
      <c r="D97">
        <v>14.7</v>
      </c>
    </row>
  </sheetData>
  <sortState ref="E2:G13">
    <sortCondition descending="1" ref="G2:G13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G27" sqref="G27"/>
    </sheetView>
  </sheetViews>
  <sheetFormatPr baseColWidth="10" defaultRowHeight="14.4" x14ac:dyDescent="0.3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4"/>
  <sheetViews>
    <sheetView workbookViewId="0">
      <selection activeCell="K24" sqref="K24"/>
    </sheetView>
  </sheetViews>
  <sheetFormatPr baseColWidth="10" defaultColWidth="8.88671875" defaultRowHeight="14.4" x14ac:dyDescent="0.3"/>
  <cols>
    <col min="5" max="5" width="12.5546875" bestFit="1" customWidth="1"/>
    <col min="6" max="6" width="11.33203125" bestFit="1" customWidth="1"/>
  </cols>
  <sheetData>
    <row r="1" spans="1:17" x14ac:dyDescent="0.3">
      <c r="A1" s="33" t="s">
        <v>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3" spans="1:17" x14ac:dyDescent="0.3">
      <c r="D3" s="3" t="s">
        <v>9</v>
      </c>
      <c r="E3" s="3" t="s">
        <v>10</v>
      </c>
      <c r="F3" s="3" t="s">
        <v>11</v>
      </c>
    </row>
    <row r="4" spans="1:17" x14ac:dyDescent="0.3">
      <c r="B4" s="2"/>
      <c r="D4" s="1">
        <v>2019</v>
      </c>
      <c r="E4" s="4">
        <v>520.6</v>
      </c>
      <c r="F4" s="5">
        <v>3.2000000000000001E-2</v>
      </c>
    </row>
    <row r="5" spans="1:17" x14ac:dyDescent="0.3">
      <c r="D5" s="1">
        <v>2020</v>
      </c>
      <c r="E5" s="1">
        <v>537.51</v>
      </c>
      <c r="F5" s="5">
        <v>1.9099999999999999E-2</v>
      </c>
    </row>
    <row r="6" spans="1:17" x14ac:dyDescent="0.3">
      <c r="D6" s="1">
        <v>2021</v>
      </c>
      <c r="E6" s="1">
        <v>547.89</v>
      </c>
      <c r="F6" s="5">
        <v>3.9399999999999998E-2</v>
      </c>
    </row>
    <row r="7" spans="1:17" x14ac:dyDescent="0.3">
      <c r="D7" s="1">
        <v>2022</v>
      </c>
      <c r="E7" s="1">
        <v>569.86</v>
      </c>
      <c r="F7" s="5">
        <v>2.5600000000000001E-2</v>
      </c>
    </row>
    <row r="8" spans="1:17" x14ac:dyDescent="0.3">
      <c r="B8" s="2"/>
      <c r="D8" s="1">
        <v>2023</v>
      </c>
      <c r="E8" s="1">
        <v>584.64</v>
      </c>
      <c r="F8" s="5">
        <v>4.8800000000000003E-2</v>
      </c>
    </row>
    <row r="9" spans="1:17" x14ac:dyDescent="0.3">
      <c r="D9" s="1">
        <v>2024</v>
      </c>
      <c r="E9" s="1">
        <v>613.85</v>
      </c>
      <c r="F9" s="1" t="s">
        <v>8</v>
      </c>
    </row>
    <row r="12" spans="1:17" x14ac:dyDescent="0.3">
      <c r="B12" s="2"/>
    </row>
    <row r="16" spans="1:17" x14ac:dyDescent="0.3">
      <c r="B16" s="2"/>
    </row>
    <row r="20" spans="2:2" x14ac:dyDescent="0.3">
      <c r="B20" s="2"/>
    </row>
    <row r="24" spans="2:2" x14ac:dyDescent="0.3">
      <c r="B24" s="2"/>
    </row>
  </sheetData>
  <mergeCells count="1">
    <mergeCell ref="A1:Q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"/>
  <sheetViews>
    <sheetView workbookViewId="0">
      <selection activeCell="F21" sqref="F21"/>
    </sheetView>
  </sheetViews>
  <sheetFormatPr baseColWidth="10" defaultColWidth="8.88671875" defaultRowHeight="14.4" x14ac:dyDescent="0.3"/>
  <cols>
    <col min="5" max="5" width="13.6640625" bestFit="1" customWidth="1"/>
    <col min="6" max="6" width="25.88671875" customWidth="1"/>
    <col min="7" max="7" width="17.33203125" bestFit="1" customWidth="1"/>
  </cols>
  <sheetData>
    <row r="1" spans="1:17" x14ac:dyDescent="0.3">
      <c r="A1" s="33" t="s">
        <v>7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3" spans="1:17" x14ac:dyDescent="0.3">
      <c r="D3" s="3" t="s">
        <v>9</v>
      </c>
      <c r="E3" s="3" t="s">
        <v>10</v>
      </c>
      <c r="F3" s="3" t="s">
        <v>12</v>
      </c>
      <c r="G3" s="3" t="s">
        <v>13</v>
      </c>
    </row>
    <row r="4" spans="1:17" x14ac:dyDescent="0.3">
      <c r="D4" s="1">
        <v>2002</v>
      </c>
      <c r="E4" s="4">
        <v>266.20959480471799</v>
      </c>
      <c r="F4" s="1" t="s">
        <v>8</v>
      </c>
      <c r="G4" s="1" t="s">
        <v>8</v>
      </c>
    </row>
    <row r="5" spans="1:17" x14ac:dyDescent="0.3">
      <c r="D5" s="1">
        <v>2005</v>
      </c>
      <c r="E5" s="4">
        <v>277.90886501853203</v>
      </c>
      <c r="F5" s="5">
        <v>4.3009287364927901E-2</v>
      </c>
      <c r="G5" s="5">
        <f>(LOG(E5)-LOG(E4))/3</f>
        <v>6.2262320577262109E-3</v>
      </c>
    </row>
    <row r="6" spans="1:17" x14ac:dyDescent="0.3">
      <c r="D6" s="1">
        <v>2008</v>
      </c>
      <c r="E6" s="4">
        <v>352.714685128133</v>
      </c>
      <c r="F6" s="5">
        <v>0.238366236419399</v>
      </c>
      <c r="G6" s="5">
        <f t="shared" ref="G6:G11" si="0">(LOG(E6)-LOG(E5))/3</f>
        <v>3.4507047049663786E-2</v>
      </c>
    </row>
    <row r="7" spans="1:17" x14ac:dyDescent="0.3">
      <c r="D7" s="1">
        <v>2011</v>
      </c>
      <c r="E7" s="4">
        <v>471.49994186690799</v>
      </c>
      <c r="F7" s="5">
        <v>0.290259506089802</v>
      </c>
      <c r="G7" s="5">
        <f t="shared" si="0"/>
        <v>4.201936727158806E-2</v>
      </c>
    </row>
    <row r="8" spans="1:17" x14ac:dyDescent="0.3">
      <c r="D8" s="1">
        <v>2014</v>
      </c>
      <c r="E8" s="4">
        <v>406.32428918754499</v>
      </c>
      <c r="F8" s="5">
        <v>-0.148767396161093</v>
      </c>
      <c r="G8" s="5">
        <f t="shared" si="0"/>
        <v>-2.1536286413292565E-2</v>
      </c>
    </row>
    <row r="9" spans="1:17" x14ac:dyDescent="0.3">
      <c r="D9" s="1">
        <v>2017</v>
      </c>
      <c r="E9" s="4">
        <v>366.75840560732399</v>
      </c>
      <c r="F9" s="5">
        <v>-0.10244824668331499</v>
      </c>
      <c r="G9" s="5">
        <f t="shared" si="0"/>
        <v>-1.4830902738408813E-2</v>
      </c>
    </row>
    <row r="10" spans="1:17" x14ac:dyDescent="0.3">
      <c r="D10" s="1">
        <v>2020</v>
      </c>
      <c r="E10" s="4">
        <v>390.25381044589699</v>
      </c>
      <c r="F10" s="5">
        <v>6.2093987527760901E-2</v>
      </c>
      <c r="G10" s="5">
        <f t="shared" si="0"/>
        <v>8.9890253808918939E-3</v>
      </c>
    </row>
    <row r="11" spans="1:17" x14ac:dyDescent="0.3">
      <c r="D11" s="1">
        <v>2022</v>
      </c>
      <c r="E11" s="4">
        <v>442.30128668016403</v>
      </c>
      <c r="F11" s="5">
        <v>0.125193970473748</v>
      </c>
      <c r="G11" s="5">
        <f t="shared" si="0"/>
        <v>1.8123683514768896E-2</v>
      </c>
    </row>
  </sheetData>
  <mergeCells count="1">
    <mergeCell ref="A1:Q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Limpio</vt:lpstr>
      <vt:lpstr>Comparativa</vt:lpstr>
      <vt:lpstr>IPC brutos</vt:lpstr>
      <vt:lpstr>IPVA brutos</vt:lpstr>
      <vt:lpstr>Idealista brutos</vt:lpstr>
      <vt:lpstr>Fotocasa Brutos</vt:lpstr>
      <vt:lpstr>Serpavi brutos</vt:lpstr>
      <vt:lpstr>ECV brutos</vt:lpstr>
      <vt:lpstr>EFF brutos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Lorién Cirera</dc:creator>
  <cp:lastModifiedBy>Lorién Cirera</cp:lastModifiedBy>
  <dcterms:created xsi:type="dcterms:W3CDTF">2025-12-22T10:49:54Z</dcterms:created>
  <dcterms:modified xsi:type="dcterms:W3CDTF">2026-01-29T11:27:10Z</dcterms:modified>
</cp:coreProperties>
</file>